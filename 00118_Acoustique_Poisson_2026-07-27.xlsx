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merinov-my.sharepoint.com/personal/sofia_dangelo_merinov_ca/Documents/"/>
    </mc:Choice>
  </mc:AlternateContent>
  <xr:revisionPtr revIDLastSave="49" documentId="8_{0EA1F338-E479-4B81-99A8-F7E8F86F5AE4}" xr6:coauthVersionLast="47" xr6:coauthVersionMax="47" xr10:uidLastSave="{C9F6ACC1-D1F2-4CA9-9251-19B04380390F}"/>
  <bookViews>
    <workbookView xWindow="-110" yWindow="-110" windowWidth="38620" windowHeight="21100" xr2:uid="{FED102B0-8955-4249-B389-64ED9B85B76E}"/>
  </bookViews>
  <sheets>
    <sheet name="Feuil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H726" i="1" l="1"/>
  <c r="G726" i="1"/>
  <c r="D726" i="1"/>
  <c r="H725" i="1"/>
  <c r="G725" i="1"/>
  <c r="D725" i="1"/>
  <c r="H724" i="1"/>
  <c r="G724" i="1"/>
  <c r="D724" i="1"/>
  <c r="H723" i="1"/>
  <c r="G723" i="1"/>
  <c r="D723" i="1"/>
  <c r="H722" i="1"/>
  <c r="G722" i="1"/>
  <c r="D722" i="1"/>
  <c r="H721" i="1"/>
  <c r="G721" i="1"/>
  <c r="D721" i="1"/>
  <c r="H720" i="1"/>
  <c r="G720" i="1"/>
  <c r="D720" i="1"/>
  <c r="H719" i="1"/>
  <c r="G719" i="1"/>
  <c r="D719" i="1"/>
  <c r="H718" i="1"/>
  <c r="G718" i="1"/>
  <c r="D718" i="1"/>
  <c r="H717" i="1"/>
  <c r="G717" i="1"/>
  <c r="D717" i="1"/>
  <c r="H716" i="1"/>
  <c r="G716" i="1"/>
  <c r="D716" i="1"/>
  <c r="H715" i="1"/>
  <c r="G715" i="1"/>
  <c r="D715" i="1"/>
  <c r="H714" i="1"/>
  <c r="G714" i="1"/>
  <c r="D714" i="1"/>
  <c r="H713" i="1"/>
  <c r="G713" i="1"/>
  <c r="D713" i="1"/>
  <c r="H712" i="1"/>
  <c r="G712" i="1"/>
  <c r="D712" i="1"/>
  <c r="H711" i="1"/>
  <c r="G711" i="1"/>
  <c r="D711" i="1"/>
  <c r="H710" i="1"/>
  <c r="G710" i="1"/>
  <c r="D710" i="1"/>
  <c r="H709" i="1"/>
  <c r="G709" i="1"/>
  <c r="D709" i="1"/>
  <c r="H708" i="1"/>
  <c r="G708" i="1"/>
  <c r="D708" i="1"/>
  <c r="H707" i="1"/>
  <c r="G707" i="1"/>
  <c r="D707" i="1"/>
  <c r="H706" i="1"/>
  <c r="G706" i="1"/>
  <c r="D706" i="1"/>
  <c r="H705" i="1"/>
  <c r="G705" i="1"/>
  <c r="D705" i="1"/>
  <c r="H704" i="1"/>
  <c r="G704" i="1"/>
  <c r="D704" i="1"/>
  <c r="H703" i="1"/>
  <c r="G703" i="1"/>
  <c r="D703" i="1"/>
  <c r="H702" i="1"/>
  <c r="G702" i="1"/>
  <c r="D702" i="1"/>
  <c r="H701" i="1"/>
  <c r="G701" i="1"/>
  <c r="D701" i="1"/>
  <c r="H700" i="1"/>
  <c r="G700" i="1"/>
  <c r="D700" i="1"/>
  <c r="H699" i="1"/>
  <c r="G699" i="1"/>
  <c r="D699" i="1"/>
  <c r="H698" i="1"/>
  <c r="G698" i="1"/>
  <c r="D698" i="1"/>
  <c r="H697" i="1"/>
  <c r="G697" i="1"/>
  <c r="D697" i="1"/>
  <c r="H696" i="1"/>
  <c r="G696" i="1"/>
  <c r="D696" i="1"/>
  <c r="H695" i="1"/>
  <c r="G695" i="1"/>
  <c r="D695" i="1"/>
  <c r="H694" i="1"/>
  <c r="G694" i="1"/>
  <c r="D694" i="1"/>
  <c r="H693" i="1"/>
  <c r="G693" i="1"/>
  <c r="D693" i="1"/>
  <c r="H692" i="1"/>
  <c r="G692" i="1"/>
  <c r="D692" i="1"/>
  <c r="H691" i="1"/>
  <c r="G691" i="1"/>
  <c r="D691" i="1"/>
  <c r="H690" i="1"/>
  <c r="G690" i="1"/>
  <c r="D690" i="1"/>
  <c r="H689" i="1"/>
  <c r="G689" i="1"/>
  <c r="D689" i="1"/>
  <c r="H688" i="1"/>
  <c r="G688" i="1"/>
  <c r="D688" i="1"/>
  <c r="H687" i="1"/>
  <c r="G687" i="1"/>
  <c r="D687" i="1"/>
  <c r="H686" i="1"/>
  <c r="G686" i="1"/>
  <c r="D686" i="1"/>
  <c r="H685" i="1"/>
  <c r="G685" i="1"/>
  <c r="D685" i="1"/>
  <c r="H684" i="1"/>
  <c r="G684" i="1"/>
  <c r="D684" i="1"/>
  <c r="H683" i="1"/>
  <c r="G683" i="1"/>
  <c r="D683" i="1"/>
  <c r="H682" i="1"/>
  <c r="G682" i="1"/>
  <c r="D682" i="1"/>
  <c r="H681" i="1"/>
  <c r="G681" i="1"/>
  <c r="D681" i="1"/>
  <c r="H680" i="1"/>
  <c r="G680" i="1"/>
  <c r="D680" i="1"/>
  <c r="H679" i="1"/>
  <c r="G679" i="1"/>
  <c r="D679" i="1"/>
  <c r="H678" i="1"/>
  <c r="G678" i="1"/>
  <c r="D678" i="1"/>
  <c r="H677" i="1"/>
  <c r="G677" i="1"/>
  <c r="D677" i="1"/>
  <c r="H676" i="1"/>
  <c r="G676" i="1"/>
  <c r="D676" i="1"/>
  <c r="H675" i="1"/>
  <c r="G675" i="1"/>
  <c r="D675" i="1"/>
  <c r="H674" i="1"/>
  <c r="G674" i="1"/>
  <c r="D674" i="1"/>
  <c r="H673" i="1"/>
  <c r="G673" i="1"/>
  <c r="D673" i="1"/>
  <c r="H672" i="1"/>
  <c r="G672" i="1"/>
  <c r="D672" i="1"/>
  <c r="H671" i="1"/>
  <c r="G671" i="1"/>
  <c r="D671" i="1"/>
  <c r="H670" i="1"/>
  <c r="G670" i="1"/>
  <c r="D670" i="1"/>
  <c r="H669" i="1"/>
  <c r="G669" i="1"/>
  <c r="D669" i="1"/>
  <c r="H668" i="1"/>
  <c r="G668" i="1"/>
  <c r="D668" i="1"/>
  <c r="H667" i="1"/>
  <c r="G667" i="1"/>
  <c r="D667" i="1"/>
  <c r="H666" i="1"/>
  <c r="G666" i="1"/>
  <c r="D666" i="1"/>
  <c r="H665" i="1"/>
  <c r="G665" i="1"/>
  <c r="D665" i="1"/>
  <c r="H664" i="1"/>
  <c r="G664" i="1"/>
  <c r="D664" i="1"/>
  <c r="H663" i="1"/>
  <c r="G663" i="1"/>
  <c r="D663" i="1"/>
  <c r="H662" i="1"/>
  <c r="G662" i="1"/>
  <c r="D662" i="1"/>
  <c r="H661" i="1"/>
  <c r="G661" i="1"/>
  <c r="D661" i="1"/>
  <c r="H660" i="1"/>
  <c r="G660" i="1"/>
  <c r="D660" i="1"/>
  <c r="H659" i="1"/>
  <c r="G659" i="1"/>
  <c r="D659" i="1"/>
  <c r="H658" i="1"/>
  <c r="G658" i="1"/>
  <c r="D658" i="1"/>
  <c r="H657" i="1"/>
  <c r="G657" i="1"/>
  <c r="D657" i="1"/>
  <c r="H656" i="1"/>
  <c r="G656" i="1"/>
  <c r="D656" i="1"/>
  <c r="H655" i="1"/>
  <c r="G655" i="1"/>
  <c r="D655" i="1"/>
  <c r="H654" i="1"/>
  <c r="G654" i="1"/>
  <c r="D654" i="1"/>
  <c r="H653" i="1"/>
  <c r="G653" i="1"/>
  <c r="D653" i="1"/>
  <c r="H652" i="1"/>
  <c r="G652" i="1"/>
  <c r="D652" i="1"/>
  <c r="H651" i="1"/>
  <c r="G651" i="1"/>
  <c r="D651" i="1"/>
  <c r="H650" i="1"/>
  <c r="G650" i="1"/>
  <c r="D650" i="1"/>
  <c r="H649" i="1"/>
  <c r="G649" i="1"/>
  <c r="D649" i="1"/>
  <c r="H648" i="1"/>
  <c r="G648" i="1"/>
  <c r="D648" i="1"/>
  <c r="H647" i="1"/>
  <c r="G647" i="1"/>
  <c r="D647" i="1"/>
  <c r="H646" i="1"/>
  <c r="G646" i="1"/>
  <c r="D646" i="1"/>
  <c r="H645" i="1"/>
  <c r="G645" i="1"/>
  <c r="D645" i="1"/>
  <c r="H644" i="1"/>
  <c r="G644" i="1"/>
  <c r="D644" i="1"/>
  <c r="H643" i="1"/>
  <c r="G643" i="1"/>
  <c r="D643" i="1"/>
  <c r="H642" i="1"/>
  <c r="G642" i="1"/>
  <c r="D642" i="1"/>
  <c r="H641" i="1"/>
  <c r="G641" i="1"/>
  <c r="D641" i="1"/>
  <c r="H640" i="1"/>
  <c r="G640" i="1"/>
  <c r="D640" i="1"/>
  <c r="H639" i="1"/>
  <c r="G639" i="1"/>
  <c r="D639" i="1"/>
  <c r="H638" i="1"/>
  <c r="G638" i="1"/>
  <c r="D638" i="1"/>
  <c r="H637" i="1"/>
  <c r="G637" i="1"/>
  <c r="D637" i="1"/>
  <c r="H636" i="1"/>
  <c r="G636" i="1"/>
  <c r="D636" i="1"/>
  <c r="H635" i="1"/>
  <c r="G635" i="1"/>
  <c r="D635" i="1"/>
  <c r="H634" i="1"/>
  <c r="G634" i="1"/>
  <c r="D634" i="1"/>
  <c r="H633" i="1"/>
  <c r="G633" i="1"/>
  <c r="D633" i="1"/>
  <c r="H632" i="1"/>
  <c r="G632" i="1"/>
  <c r="D632" i="1"/>
  <c r="H631" i="1"/>
  <c r="G631" i="1"/>
  <c r="D631" i="1"/>
  <c r="H630" i="1"/>
  <c r="G630" i="1"/>
  <c r="D630" i="1"/>
  <c r="H629" i="1"/>
  <c r="G629" i="1"/>
  <c r="D629" i="1"/>
  <c r="H628" i="1"/>
  <c r="G628" i="1"/>
  <c r="D628" i="1"/>
  <c r="H627" i="1"/>
  <c r="G627" i="1"/>
  <c r="D627" i="1"/>
  <c r="H626" i="1"/>
  <c r="G626" i="1"/>
  <c r="D626" i="1"/>
  <c r="H625" i="1"/>
  <c r="G625" i="1"/>
  <c r="D625" i="1"/>
  <c r="H624" i="1"/>
  <c r="G624" i="1"/>
  <c r="D624" i="1"/>
  <c r="H623" i="1"/>
  <c r="G623" i="1"/>
  <c r="D623" i="1"/>
  <c r="H622" i="1"/>
  <c r="G622" i="1"/>
  <c r="D622" i="1"/>
  <c r="H621" i="1"/>
  <c r="G621" i="1"/>
  <c r="D621" i="1"/>
  <c r="H620" i="1"/>
  <c r="G620" i="1"/>
  <c r="D620" i="1"/>
  <c r="H619" i="1"/>
  <c r="G619" i="1"/>
  <c r="D619" i="1"/>
  <c r="H618" i="1"/>
  <c r="G618" i="1"/>
  <c r="D618" i="1"/>
  <c r="H617" i="1"/>
  <c r="G617" i="1"/>
  <c r="D617" i="1"/>
  <c r="H616" i="1"/>
  <c r="G616" i="1"/>
  <c r="D616" i="1"/>
  <c r="H615" i="1"/>
  <c r="G615" i="1"/>
  <c r="D615" i="1"/>
  <c r="H614" i="1"/>
  <c r="G614" i="1"/>
  <c r="D614" i="1"/>
  <c r="H613" i="1"/>
  <c r="G613" i="1"/>
  <c r="D613" i="1"/>
  <c r="H612" i="1"/>
  <c r="G612" i="1"/>
  <c r="D612" i="1"/>
  <c r="H611" i="1"/>
  <c r="G611" i="1"/>
  <c r="D611" i="1"/>
  <c r="H610" i="1"/>
  <c r="G610" i="1"/>
  <c r="D610" i="1"/>
  <c r="H609" i="1"/>
  <c r="G609" i="1"/>
  <c r="D609" i="1"/>
  <c r="H608" i="1"/>
  <c r="G608" i="1"/>
  <c r="D608" i="1"/>
  <c r="H607" i="1"/>
  <c r="G607" i="1"/>
  <c r="D607" i="1"/>
  <c r="H606" i="1"/>
  <c r="G606" i="1"/>
  <c r="D606" i="1"/>
  <c r="H605" i="1"/>
  <c r="G605" i="1"/>
  <c r="D605" i="1"/>
  <c r="H604" i="1"/>
  <c r="G604" i="1"/>
  <c r="D604" i="1"/>
  <c r="H603" i="1"/>
  <c r="G603" i="1"/>
  <c r="D603" i="1"/>
  <c r="H602" i="1"/>
  <c r="G602" i="1"/>
  <c r="D602" i="1"/>
  <c r="H601" i="1"/>
  <c r="G601" i="1"/>
  <c r="D601" i="1"/>
  <c r="H600" i="1"/>
  <c r="G600" i="1"/>
  <c r="D600" i="1"/>
  <c r="H599" i="1"/>
  <c r="G599" i="1"/>
  <c r="D599" i="1"/>
  <c r="H598" i="1"/>
  <c r="G598" i="1"/>
  <c r="D598" i="1"/>
  <c r="H597" i="1"/>
  <c r="G597" i="1"/>
  <c r="D597" i="1"/>
  <c r="H596" i="1"/>
  <c r="G596" i="1"/>
  <c r="D596" i="1"/>
  <c r="H595" i="1"/>
  <c r="G595" i="1"/>
  <c r="D595" i="1"/>
  <c r="H594" i="1"/>
  <c r="G594" i="1"/>
  <c r="D594" i="1"/>
  <c r="H593" i="1"/>
  <c r="G593" i="1"/>
  <c r="D593" i="1"/>
  <c r="H592" i="1"/>
  <c r="G592" i="1"/>
  <c r="D592" i="1"/>
  <c r="H591" i="1"/>
  <c r="G591" i="1"/>
  <c r="D591" i="1"/>
  <c r="H590" i="1"/>
  <c r="G590" i="1"/>
  <c r="D590" i="1"/>
  <c r="H589" i="1"/>
  <c r="G589" i="1"/>
  <c r="D589" i="1"/>
  <c r="H588" i="1"/>
  <c r="G588" i="1"/>
  <c r="D588" i="1"/>
  <c r="H587" i="1"/>
  <c r="G587" i="1"/>
  <c r="D587" i="1"/>
  <c r="H586" i="1"/>
  <c r="G586" i="1"/>
  <c r="D586" i="1"/>
  <c r="H585" i="1"/>
  <c r="G585" i="1"/>
  <c r="D585" i="1"/>
  <c r="H584" i="1"/>
  <c r="G584" i="1"/>
  <c r="D584" i="1"/>
  <c r="H583" i="1"/>
  <c r="G583" i="1"/>
  <c r="D583" i="1"/>
  <c r="H582" i="1"/>
  <c r="G582" i="1"/>
  <c r="D582" i="1"/>
  <c r="H581" i="1"/>
  <c r="G581" i="1"/>
  <c r="D581" i="1"/>
  <c r="H580" i="1"/>
  <c r="G580" i="1"/>
  <c r="D580" i="1"/>
  <c r="H579" i="1"/>
  <c r="G579" i="1"/>
  <c r="D579" i="1"/>
  <c r="H578" i="1"/>
  <c r="G578" i="1"/>
  <c r="D578" i="1"/>
  <c r="H577" i="1"/>
  <c r="G577" i="1"/>
  <c r="D577" i="1"/>
  <c r="H576" i="1"/>
  <c r="G576" i="1"/>
  <c r="D576" i="1"/>
  <c r="H575" i="1"/>
  <c r="G575" i="1"/>
  <c r="D575" i="1"/>
  <c r="H574" i="1"/>
  <c r="G574" i="1"/>
  <c r="D574" i="1"/>
  <c r="H573" i="1"/>
  <c r="G573" i="1"/>
  <c r="D573" i="1"/>
  <c r="H572" i="1"/>
  <c r="G572" i="1"/>
  <c r="D572" i="1"/>
  <c r="H571" i="1"/>
  <c r="G571" i="1"/>
  <c r="D571" i="1"/>
  <c r="H570" i="1"/>
  <c r="G570" i="1"/>
  <c r="D570" i="1"/>
  <c r="H569" i="1"/>
  <c r="G569" i="1"/>
  <c r="D569" i="1"/>
  <c r="H568" i="1"/>
  <c r="G568" i="1"/>
  <c r="D568" i="1"/>
  <c r="H567" i="1"/>
  <c r="G567" i="1"/>
  <c r="D567" i="1"/>
  <c r="H566" i="1"/>
  <c r="G566" i="1"/>
  <c r="D566" i="1"/>
  <c r="H565" i="1"/>
  <c r="G565" i="1"/>
  <c r="D565" i="1"/>
  <c r="H564" i="1"/>
  <c r="G564" i="1"/>
  <c r="D564" i="1"/>
  <c r="H563" i="1"/>
  <c r="G563" i="1"/>
  <c r="D563" i="1"/>
  <c r="H562" i="1"/>
  <c r="G562" i="1"/>
  <c r="D562" i="1"/>
  <c r="H561" i="1"/>
  <c r="G561" i="1"/>
  <c r="D561" i="1"/>
  <c r="H560" i="1"/>
  <c r="G560" i="1"/>
  <c r="D560" i="1"/>
  <c r="H559" i="1"/>
  <c r="G559" i="1"/>
  <c r="D559" i="1"/>
  <c r="H558" i="1"/>
  <c r="G558" i="1"/>
  <c r="D558" i="1"/>
  <c r="H557" i="1"/>
  <c r="G557" i="1"/>
  <c r="D557" i="1"/>
  <c r="H556" i="1"/>
  <c r="G556" i="1"/>
  <c r="D556" i="1"/>
  <c r="H555" i="1"/>
  <c r="G555" i="1"/>
  <c r="D555" i="1"/>
  <c r="H554" i="1"/>
  <c r="G554" i="1"/>
  <c r="D554" i="1"/>
  <c r="H553" i="1"/>
  <c r="G553" i="1"/>
  <c r="D553" i="1"/>
  <c r="H552" i="1"/>
  <c r="G552" i="1"/>
  <c r="D552" i="1"/>
  <c r="H551" i="1"/>
  <c r="G551" i="1"/>
  <c r="D551" i="1"/>
  <c r="H550" i="1"/>
  <c r="G550" i="1"/>
  <c r="D550" i="1"/>
  <c r="H549" i="1"/>
  <c r="G549" i="1"/>
  <c r="D549" i="1"/>
  <c r="H548" i="1"/>
  <c r="G548" i="1"/>
  <c r="D548" i="1"/>
  <c r="H547" i="1"/>
  <c r="G547" i="1"/>
  <c r="D547" i="1"/>
  <c r="H546" i="1"/>
  <c r="G546" i="1"/>
  <c r="D546" i="1"/>
  <c r="H545" i="1"/>
  <c r="G545" i="1"/>
  <c r="D545" i="1"/>
  <c r="H544" i="1"/>
  <c r="G544" i="1"/>
  <c r="D544" i="1"/>
  <c r="H543" i="1"/>
  <c r="G543" i="1"/>
  <c r="D543" i="1"/>
  <c r="H542" i="1"/>
  <c r="G542" i="1"/>
  <c r="D542" i="1"/>
  <c r="H541" i="1"/>
  <c r="G541" i="1"/>
  <c r="D541" i="1"/>
  <c r="H540" i="1"/>
  <c r="G540" i="1"/>
  <c r="D540" i="1"/>
  <c r="H539" i="1"/>
  <c r="G539" i="1"/>
  <c r="D539" i="1"/>
  <c r="H538" i="1"/>
  <c r="G538" i="1"/>
  <c r="D538" i="1"/>
  <c r="H537" i="1"/>
  <c r="G537" i="1"/>
  <c r="D537" i="1"/>
  <c r="H536" i="1"/>
  <c r="G536" i="1"/>
  <c r="D536" i="1"/>
  <c r="H535" i="1"/>
  <c r="G535" i="1"/>
  <c r="D535" i="1"/>
  <c r="H534" i="1"/>
  <c r="G534" i="1"/>
  <c r="D534" i="1"/>
  <c r="H533" i="1"/>
  <c r="G533" i="1"/>
  <c r="D533" i="1"/>
  <c r="H532" i="1"/>
  <c r="G532" i="1"/>
  <c r="D532" i="1"/>
  <c r="H531" i="1"/>
  <c r="G531" i="1"/>
  <c r="D531" i="1"/>
  <c r="H530" i="1"/>
  <c r="G530" i="1"/>
  <c r="D530" i="1"/>
  <c r="H529" i="1"/>
  <c r="G529" i="1"/>
  <c r="D529" i="1"/>
  <c r="H528" i="1"/>
  <c r="G528" i="1"/>
  <c r="D528" i="1"/>
  <c r="H527" i="1"/>
  <c r="G527" i="1"/>
  <c r="D527" i="1"/>
  <c r="H526" i="1"/>
  <c r="G526" i="1"/>
  <c r="D526" i="1"/>
  <c r="H525" i="1"/>
  <c r="G525" i="1"/>
  <c r="D525" i="1"/>
  <c r="H524" i="1"/>
  <c r="G524" i="1"/>
  <c r="D524" i="1"/>
  <c r="H523" i="1"/>
  <c r="G523" i="1"/>
  <c r="D523" i="1"/>
  <c r="H522" i="1"/>
  <c r="G522" i="1"/>
  <c r="D522" i="1"/>
  <c r="H521" i="1"/>
  <c r="G521" i="1"/>
  <c r="D521" i="1"/>
  <c r="H520" i="1"/>
  <c r="G520" i="1"/>
  <c r="D520" i="1"/>
  <c r="H519" i="1"/>
  <c r="G519" i="1"/>
  <c r="D519" i="1"/>
  <c r="H518" i="1"/>
  <c r="G518" i="1"/>
  <c r="D518" i="1"/>
  <c r="H517" i="1"/>
  <c r="G517" i="1"/>
  <c r="D517" i="1"/>
  <c r="H516" i="1"/>
  <c r="G516" i="1"/>
  <c r="D516" i="1"/>
  <c r="H515" i="1"/>
  <c r="G515" i="1"/>
  <c r="D515" i="1"/>
  <c r="H514" i="1"/>
  <c r="G514" i="1"/>
  <c r="D514" i="1"/>
  <c r="H513" i="1"/>
  <c r="G513" i="1"/>
  <c r="D513" i="1"/>
  <c r="H512" i="1"/>
  <c r="G512" i="1"/>
  <c r="D512" i="1"/>
  <c r="H511" i="1"/>
  <c r="G511" i="1"/>
  <c r="D511" i="1"/>
  <c r="H510" i="1"/>
  <c r="G510" i="1"/>
  <c r="D510" i="1"/>
  <c r="H509" i="1"/>
  <c r="G509" i="1"/>
  <c r="D509" i="1"/>
  <c r="H508" i="1"/>
  <c r="G508" i="1"/>
  <c r="D508" i="1"/>
  <c r="H507" i="1"/>
  <c r="G507" i="1"/>
  <c r="D507" i="1"/>
  <c r="H506" i="1"/>
  <c r="G506" i="1"/>
  <c r="D506" i="1"/>
  <c r="H505" i="1"/>
  <c r="G505" i="1"/>
  <c r="D505" i="1"/>
  <c r="H504" i="1"/>
  <c r="G504" i="1"/>
  <c r="D504" i="1"/>
  <c r="H503" i="1"/>
  <c r="G503" i="1"/>
  <c r="D503" i="1"/>
  <c r="H502" i="1"/>
  <c r="G502" i="1"/>
  <c r="D502" i="1"/>
  <c r="H501" i="1"/>
  <c r="G501" i="1"/>
  <c r="D501" i="1"/>
  <c r="H500" i="1"/>
  <c r="G500" i="1"/>
  <c r="D500" i="1"/>
  <c r="H499" i="1"/>
  <c r="G499" i="1"/>
  <c r="D499" i="1"/>
  <c r="H498" i="1"/>
  <c r="G498" i="1"/>
  <c r="D498" i="1"/>
  <c r="H497" i="1"/>
  <c r="G497" i="1"/>
  <c r="D497" i="1"/>
  <c r="H496" i="1"/>
  <c r="G496" i="1"/>
  <c r="D496" i="1"/>
  <c r="H495" i="1"/>
  <c r="G495" i="1"/>
  <c r="D495" i="1"/>
  <c r="H494" i="1"/>
  <c r="G494" i="1"/>
  <c r="D494" i="1"/>
  <c r="H493" i="1"/>
  <c r="G493" i="1"/>
  <c r="D493" i="1"/>
  <c r="H492" i="1"/>
  <c r="G492" i="1"/>
  <c r="D492" i="1"/>
  <c r="H491" i="1"/>
  <c r="G491" i="1"/>
  <c r="D491" i="1"/>
  <c r="H490" i="1"/>
  <c r="G490" i="1"/>
  <c r="D490" i="1"/>
  <c r="H489" i="1"/>
  <c r="G489" i="1"/>
  <c r="D489" i="1"/>
  <c r="H488" i="1"/>
  <c r="G488" i="1"/>
  <c r="D488" i="1"/>
  <c r="H487" i="1"/>
  <c r="G487" i="1"/>
  <c r="D487" i="1"/>
  <c r="H486" i="1"/>
  <c r="G486" i="1"/>
  <c r="D486" i="1"/>
  <c r="H485" i="1"/>
  <c r="G485" i="1"/>
  <c r="D485" i="1"/>
  <c r="H484" i="1"/>
  <c r="G484" i="1"/>
  <c r="D484" i="1"/>
  <c r="H483" i="1"/>
  <c r="G483" i="1"/>
  <c r="D483" i="1"/>
  <c r="H482" i="1"/>
  <c r="G482" i="1"/>
  <c r="D482" i="1"/>
  <c r="H481" i="1"/>
  <c r="G481" i="1"/>
  <c r="D481" i="1"/>
  <c r="H480" i="1"/>
  <c r="G480" i="1"/>
  <c r="D480" i="1"/>
  <c r="H479" i="1"/>
  <c r="G479" i="1"/>
  <c r="D479" i="1"/>
  <c r="H478" i="1"/>
  <c r="G478" i="1"/>
  <c r="D478" i="1"/>
  <c r="H477" i="1"/>
  <c r="G477" i="1"/>
  <c r="D477" i="1"/>
  <c r="H476" i="1"/>
  <c r="G476" i="1"/>
  <c r="D476" i="1"/>
  <c r="H475" i="1"/>
  <c r="G475" i="1"/>
  <c r="D475" i="1"/>
  <c r="H474" i="1"/>
  <c r="G474" i="1"/>
  <c r="D474" i="1"/>
  <c r="H473" i="1"/>
  <c r="G473" i="1"/>
  <c r="D473" i="1"/>
  <c r="H472" i="1"/>
  <c r="G472" i="1"/>
  <c r="D472" i="1"/>
  <c r="H471" i="1"/>
  <c r="G471" i="1"/>
  <c r="D471" i="1"/>
  <c r="H470" i="1"/>
  <c r="G470" i="1"/>
  <c r="D470" i="1"/>
  <c r="H469" i="1"/>
  <c r="G469" i="1"/>
  <c r="D469" i="1"/>
  <c r="H468" i="1"/>
  <c r="G468" i="1"/>
  <c r="D468" i="1"/>
  <c r="H467" i="1"/>
  <c r="G467" i="1"/>
  <c r="D467" i="1"/>
  <c r="H466" i="1"/>
  <c r="G466" i="1"/>
  <c r="D466" i="1"/>
  <c r="H465" i="1"/>
  <c r="G465" i="1"/>
  <c r="D465" i="1"/>
  <c r="H464" i="1"/>
  <c r="G464" i="1"/>
  <c r="D464" i="1"/>
  <c r="H463" i="1"/>
  <c r="G463" i="1"/>
  <c r="D463" i="1"/>
  <c r="H462" i="1"/>
  <c r="G462" i="1"/>
  <c r="D462" i="1"/>
  <c r="H461" i="1"/>
  <c r="G461" i="1"/>
  <c r="D461" i="1"/>
  <c r="H460" i="1"/>
  <c r="G460" i="1"/>
  <c r="D460" i="1"/>
  <c r="H459" i="1"/>
  <c r="G459" i="1"/>
  <c r="D459" i="1"/>
  <c r="H458" i="1"/>
  <c r="G458" i="1"/>
  <c r="D458" i="1"/>
  <c r="H457" i="1"/>
  <c r="G457" i="1"/>
  <c r="D457" i="1"/>
  <c r="H456" i="1"/>
  <c r="G456" i="1"/>
  <c r="D456" i="1"/>
  <c r="H455" i="1"/>
  <c r="G455" i="1"/>
  <c r="D455" i="1"/>
  <c r="H454" i="1"/>
  <c r="G454" i="1"/>
  <c r="D454" i="1"/>
  <c r="H453" i="1"/>
  <c r="G453" i="1"/>
  <c r="D453" i="1"/>
  <c r="H452" i="1"/>
  <c r="G452" i="1"/>
  <c r="D452" i="1"/>
  <c r="H451" i="1"/>
  <c r="G451" i="1"/>
  <c r="D451" i="1"/>
  <c r="H450" i="1"/>
  <c r="G450" i="1"/>
  <c r="D450" i="1"/>
  <c r="H449" i="1"/>
  <c r="G449" i="1"/>
  <c r="D449" i="1"/>
  <c r="H448" i="1"/>
  <c r="G448" i="1"/>
  <c r="D448" i="1"/>
  <c r="H447" i="1"/>
  <c r="G447" i="1"/>
  <c r="D447" i="1"/>
  <c r="H446" i="1"/>
  <c r="G446" i="1"/>
  <c r="D446" i="1"/>
  <c r="H445" i="1"/>
  <c r="G445" i="1"/>
  <c r="D445" i="1"/>
  <c r="H444" i="1"/>
  <c r="G444" i="1"/>
  <c r="D444" i="1"/>
  <c r="H443" i="1"/>
  <c r="G443" i="1"/>
  <c r="D443" i="1"/>
  <c r="H442" i="1"/>
  <c r="G442" i="1"/>
  <c r="D442" i="1"/>
  <c r="H441" i="1"/>
  <c r="G441" i="1"/>
  <c r="D441" i="1"/>
  <c r="H440" i="1"/>
  <c r="G440" i="1"/>
  <c r="D440" i="1"/>
  <c r="H439" i="1"/>
  <c r="G439" i="1"/>
  <c r="D439" i="1"/>
  <c r="H438" i="1"/>
  <c r="G438" i="1"/>
  <c r="D438" i="1"/>
  <c r="H437" i="1"/>
  <c r="G437" i="1"/>
  <c r="D437" i="1"/>
  <c r="H436" i="1"/>
  <c r="G436" i="1"/>
  <c r="D436" i="1"/>
  <c r="H435" i="1"/>
  <c r="G435" i="1"/>
  <c r="D435" i="1"/>
  <c r="H434" i="1"/>
  <c r="G434" i="1"/>
  <c r="D434" i="1"/>
  <c r="H433" i="1"/>
  <c r="G433" i="1"/>
  <c r="D433" i="1"/>
  <c r="H432" i="1"/>
  <c r="G432" i="1"/>
  <c r="D432" i="1"/>
  <c r="H431" i="1"/>
  <c r="G431" i="1"/>
  <c r="D431" i="1"/>
  <c r="H430" i="1"/>
  <c r="G430" i="1"/>
  <c r="D430" i="1"/>
  <c r="H429" i="1"/>
  <c r="G429" i="1"/>
  <c r="D429" i="1"/>
  <c r="H428" i="1"/>
  <c r="G428" i="1"/>
  <c r="D428" i="1"/>
  <c r="H427" i="1"/>
  <c r="G427" i="1"/>
  <c r="D427" i="1"/>
  <c r="H426" i="1"/>
  <c r="G426" i="1"/>
  <c r="D426" i="1"/>
  <c r="H425" i="1"/>
  <c r="G425" i="1"/>
  <c r="D425" i="1"/>
  <c r="H424" i="1"/>
  <c r="G424" i="1"/>
  <c r="D424" i="1"/>
  <c r="H423" i="1"/>
  <c r="G423" i="1"/>
  <c r="D423" i="1"/>
  <c r="H422" i="1"/>
  <c r="G422" i="1"/>
  <c r="D422" i="1"/>
  <c r="H421" i="1"/>
  <c r="G421" i="1"/>
  <c r="D421" i="1"/>
  <c r="H420" i="1"/>
  <c r="G420" i="1"/>
  <c r="D420" i="1"/>
  <c r="H419" i="1"/>
  <c r="G419" i="1"/>
  <c r="D419" i="1"/>
  <c r="H418" i="1"/>
  <c r="G418" i="1"/>
  <c r="D418" i="1"/>
  <c r="H417" i="1"/>
  <c r="G417" i="1"/>
  <c r="D417" i="1"/>
  <c r="H416" i="1"/>
  <c r="G416" i="1"/>
  <c r="D416" i="1"/>
  <c r="H415" i="1"/>
  <c r="G415" i="1"/>
  <c r="D415" i="1"/>
  <c r="H414" i="1"/>
  <c r="G414" i="1"/>
  <c r="D414" i="1"/>
  <c r="H413" i="1"/>
  <c r="G413" i="1"/>
  <c r="D413" i="1"/>
  <c r="H412" i="1"/>
  <c r="G412" i="1"/>
  <c r="D412" i="1"/>
  <c r="H411" i="1"/>
  <c r="G411" i="1"/>
  <c r="D411" i="1"/>
  <c r="H410" i="1"/>
  <c r="G410" i="1"/>
  <c r="D410" i="1"/>
  <c r="H409" i="1"/>
  <c r="G409" i="1"/>
  <c r="D409" i="1"/>
  <c r="H408" i="1"/>
  <c r="G408" i="1"/>
  <c r="D408" i="1"/>
  <c r="H407" i="1"/>
  <c r="G407" i="1"/>
  <c r="D407" i="1"/>
  <c r="H406" i="1"/>
  <c r="G406" i="1"/>
  <c r="D406" i="1"/>
  <c r="H405" i="1"/>
  <c r="G405" i="1"/>
  <c r="D405" i="1"/>
  <c r="H404" i="1"/>
  <c r="G404" i="1"/>
  <c r="D404" i="1"/>
  <c r="H403" i="1"/>
  <c r="G403" i="1"/>
  <c r="D403" i="1"/>
  <c r="H402" i="1"/>
  <c r="G402" i="1"/>
  <c r="D402" i="1"/>
  <c r="H401" i="1"/>
  <c r="G401" i="1"/>
  <c r="D401" i="1"/>
  <c r="H400" i="1"/>
  <c r="G400" i="1"/>
  <c r="D400" i="1"/>
  <c r="H399" i="1"/>
  <c r="G399" i="1"/>
  <c r="D399" i="1"/>
  <c r="H398" i="1"/>
  <c r="G398" i="1"/>
  <c r="D398" i="1"/>
  <c r="H397" i="1"/>
  <c r="G397" i="1"/>
  <c r="D397" i="1"/>
  <c r="H396" i="1"/>
  <c r="G396" i="1"/>
  <c r="D396" i="1"/>
  <c r="H395" i="1"/>
  <c r="G395" i="1"/>
  <c r="D395" i="1"/>
  <c r="H394" i="1"/>
  <c r="G394" i="1"/>
  <c r="D394" i="1"/>
  <c r="H393" i="1"/>
  <c r="G393" i="1"/>
  <c r="D393" i="1"/>
  <c r="H392" i="1"/>
  <c r="G392" i="1"/>
  <c r="D392" i="1"/>
  <c r="H391" i="1"/>
  <c r="G391" i="1"/>
  <c r="D391" i="1"/>
  <c r="H390" i="1"/>
  <c r="G390" i="1"/>
  <c r="D390" i="1"/>
  <c r="H389" i="1"/>
  <c r="G389" i="1"/>
  <c r="D389" i="1"/>
  <c r="H388" i="1"/>
  <c r="G388" i="1"/>
  <c r="D388" i="1"/>
  <c r="H387" i="1"/>
  <c r="G387" i="1"/>
  <c r="D387" i="1"/>
  <c r="H386" i="1"/>
  <c r="G386" i="1"/>
  <c r="D386" i="1"/>
  <c r="H385" i="1"/>
  <c r="G385" i="1"/>
  <c r="D385" i="1"/>
  <c r="H384" i="1"/>
  <c r="G384" i="1"/>
  <c r="D384" i="1"/>
  <c r="H383" i="1"/>
  <c r="G383" i="1"/>
  <c r="D383" i="1"/>
  <c r="H382" i="1"/>
  <c r="G382" i="1"/>
  <c r="D382" i="1"/>
  <c r="H381" i="1"/>
  <c r="G381" i="1"/>
  <c r="D381" i="1"/>
  <c r="H380" i="1"/>
  <c r="G380" i="1"/>
  <c r="D380" i="1"/>
  <c r="H379" i="1"/>
  <c r="G379" i="1"/>
  <c r="D379" i="1"/>
  <c r="H378" i="1"/>
  <c r="G378" i="1"/>
  <c r="D378" i="1"/>
  <c r="H377" i="1"/>
  <c r="G377" i="1"/>
  <c r="D377" i="1"/>
  <c r="H376" i="1"/>
  <c r="G376" i="1"/>
  <c r="D376" i="1"/>
  <c r="H375" i="1"/>
  <c r="G375" i="1"/>
  <c r="D375" i="1"/>
  <c r="H374" i="1"/>
  <c r="G374" i="1"/>
  <c r="D374" i="1"/>
  <c r="H373" i="1"/>
  <c r="G373" i="1"/>
  <c r="D373" i="1"/>
  <c r="H372" i="1"/>
  <c r="G372" i="1"/>
  <c r="D372" i="1"/>
  <c r="H371" i="1"/>
  <c r="G371" i="1"/>
  <c r="D371" i="1"/>
  <c r="H370" i="1"/>
  <c r="G370" i="1"/>
  <c r="D370" i="1"/>
  <c r="H369" i="1"/>
  <c r="G369" i="1"/>
  <c r="D369" i="1"/>
  <c r="H368" i="1"/>
  <c r="G368" i="1"/>
  <c r="D368" i="1"/>
  <c r="H367" i="1"/>
  <c r="G367" i="1"/>
  <c r="D367" i="1"/>
  <c r="H366" i="1"/>
  <c r="G366" i="1"/>
  <c r="D366" i="1"/>
  <c r="H365" i="1"/>
  <c r="G365" i="1"/>
  <c r="D365" i="1"/>
  <c r="H364" i="1"/>
  <c r="G364" i="1"/>
  <c r="D364" i="1"/>
  <c r="H363" i="1"/>
  <c r="G363" i="1"/>
  <c r="D363" i="1"/>
  <c r="H362" i="1"/>
  <c r="G362" i="1"/>
  <c r="D362" i="1"/>
  <c r="H361" i="1"/>
  <c r="G361" i="1"/>
  <c r="D361" i="1"/>
  <c r="H360" i="1"/>
  <c r="G360" i="1"/>
  <c r="D360" i="1"/>
  <c r="H359" i="1"/>
  <c r="G359" i="1"/>
  <c r="D359" i="1"/>
  <c r="H358" i="1"/>
  <c r="G358" i="1"/>
  <c r="D358" i="1"/>
  <c r="H357" i="1"/>
  <c r="G357" i="1"/>
  <c r="D357" i="1"/>
  <c r="H356" i="1"/>
  <c r="G356" i="1"/>
  <c r="D356" i="1"/>
  <c r="H355" i="1"/>
  <c r="G355" i="1"/>
  <c r="D355" i="1"/>
  <c r="H354" i="1"/>
  <c r="G354" i="1"/>
  <c r="D354" i="1"/>
  <c r="H353" i="1"/>
  <c r="G353" i="1"/>
  <c r="D353" i="1"/>
  <c r="H352" i="1"/>
  <c r="G352" i="1"/>
  <c r="D352" i="1"/>
  <c r="H351" i="1"/>
  <c r="G351" i="1"/>
  <c r="D351" i="1"/>
  <c r="H350" i="1"/>
  <c r="G350" i="1"/>
  <c r="D350" i="1"/>
  <c r="H349" i="1"/>
  <c r="G349" i="1"/>
  <c r="D349" i="1"/>
  <c r="H348" i="1"/>
  <c r="G348" i="1"/>
  <c r="D348" i="1"/>
  <c r="H347" i="1"/>
  <c r="G347" i="1"/>
  <c r="D347" i="1"/>
  <c r="H346" i="1"/>
  <c r="G346" i="1"/>
  <c r="D346" i="1"/>
  <c r="H345" i="1"/>
  <c r="G345" i="1"/>
  <c r="D345" i="1"/>
  <c r="H344" i="1"/>
  <c r="G344" i="1"/>
  <c r="D344" i="1"/>
  <c r="H343" i="1"/>
  <c r="G343" i="1"/>
  <c r="D343" i="1"/>
  <c r="H342" i="1"/>
  <c r="G342" i="1"/>
  <c r="D342" i="1"/>
  <c r="H341" i="1"/>
  <c r="G341" i="1"/>
  <c r="D341" i="1"/>
  <c r="H340" i="1"/>
  <c r="G340" i="1"/>
  <c r="D340" i="1"/>
  <c r="H339" i="1"/>
  <c r="G339" i="1"/>
  <c r="D339" i="1"/>
  <c r="H338" i="1"/>
  <c r="G338" i="1"/>
  <c r="D338" i="1"/>
  <c r="H337" i="1"/>
  <c r="G337" i="1"/>
  <c r="D337" i="1"/>
  <c r="H336" i="1"/>
  <c r="G336" i="1"/>
  <c r="D336" i="1"/>
  <c r="H335" i="1"/>
  <c r="G335" i="1"/>
  <c r="D335" i="1"/>
  <c r="H334" i="1"/>
  <c r="G334" i="1"/>
  <c r="D334" i="1"/>
  <c r="H333" i="1"/>
  <c r="G333" i="1"/>
  <c r="D333" i="1"/>
  <c r="H332" i="1"/>
  <c r="G332" i="1"/>
  <c r="D332" i="1"/>
  <c r="H331" i="1"/>
  <c r="G331" i="1"/>
  <c r="D331" i="1"/>
  <c r="H330" i="1"/>
  <c r="G330" i="1"/>
  <c r="D330" i="1"/>
  <c r="H329" i="1"/>
  <c r="G329" i="1"/>
  <c r="D329" i="1"/>
  <c r="H328" i="1"/>
  <c r="G328" i="1"/>
  <c r="D328" i="1"/>
  <c r="H327" i="1"/>
  <c r="G327" i="1"/>
  <c r="D327" i="1"/>
  <c r="H326" i="1"/>
  <c r="G326" i="1"/>
  <c r="D326" i="1"/>
  <c r="H325" i="1"/>
  <c r="G325" i="1"/>
  <c r="D325" i="1"/>
  <c r="H324" i="1"/>
  <c r="G324" i="1"/>
  <c r="D324" i="1"/>
  <c r="H323" i="1"/>
  <c r="G323" i="1"/>
  <c r="D323" i="1"/>
  <c r="H322" i="1"/>
  <c r="G322" i="1"/>
  <c r="D322" i="1"/>
  <c r="H321" i="1"/>
  <c r="G321" i="1"/>
  <c r="D321" i="1"/>
  <c r="H320" i="1"/>
  <c r="G320" i="1"/>
  <c r="D320" i="1"/>
  <c r="H319" i="1"/>
  <c r="G319" i="1"/>
  <c r="D319" i="1"/>
  <c r="H318" i="1"/>
  <c r="G318" i="1"/>
  <c r="D318" i="1"/>
  <c r="H317" i="1"/>
  <c r="G317" i="1"/>
  <c r="D317" i="1"/>
  <c r="H316" i="1"/>
  <c r="G316" i="1"/>
  <c r="D316" i="1"/>
  <c r="H315" i="1"/>
  <c r="G315" i="1"/>
  <c r="D315" i="1"/>
  <c r="H314" i="1"/>
  <c r="G314" i="1"/>
  <c r="D314" i="1"/>
  <c r="H313" i="1"/>
  <c r="G313" i="1"/>
  <c r="D313" i="1"/>
  <c r="H312" i="1"/>
  <c r="G312" i="1"/>
  <c r="D312" i="1"/>
  <c r="H311" i="1"/>
  <c r="G311" i="1"/>
  <c r="D311" i="1"/>
  <c r="H310" i="1"/>
  <c r="G310" i="1"/>
  <c r="D310" i="1"/>
  <c r="H309" i="1"/>
  <c r="G309" i="1"/>
  <c r="D309" i="1"/>
  <c r="H308" i="1"/>
  <c r="G308" i="1"/>
  <c r="D308" i="1"/>
  <c r="H307" i="1"/>
  <c r="G307" i="1"/>
  <c r="D307" i="1"/>
  <c r="H306" i="1"/>
  <c r="G306" i="1"/>
  <c r="D306" i="1"/>
  <c r="H305" i="1"/>
  <c r="G305" i="1"/>
  <c r="D305" i="1"/>
  <c r="H304" i="1"/>
  <c r="G304" i="1"/>
  <c r="D304" i="1"/>
  <c r="H303" i="1"/>
  <c r="G303" i="1"/>
  <c r="D303" i="1"/>
  <c r="H302" i="1"/>
  <c r="G302" i="1"/>
  <c r="D302" i="1"/>
  <c r="H301" i="1"/>
  <c r="G301" i="1"/>
  <c r="D301" i="1"/>
  <c r="H300" i="1"/>
  <c r="G300" i="1"/>
  <c r="D300" i="1"/>
  <c r="H299" i="1"/>
  <c r="G299" i="1"/>
  <c r="D299" i="1"/>
  <c r="H298" i="1"/>
  <c r="G298" i="1"/>
  <c r="D298" i="1"/>
  <c r="H297" i="1"/>
  <c r="G297" i="1"/>
  <c r="D297" i="1"/>
  <c r="H296" i="1"/>
  <c r="G296" i="1"/>
  <c r="D296" i="1"/>
  <c r="H295" i="1"/>
  <c r="G295" i="1"/>
  <c r="D295" i="1"/>
  <c r="H294" i="1"/>
  <c r="G294" i="1"/>
  <c r="D294" i="1"/>
  <c r="H293" i="1"/>
  <c r="G293" i="1"/>
  <c r="D293" i="1"/>
  <c r="H292" i="1"/>
  <c r="G292" i="1"/>
  <c r="D292" i="1"/>
  <c r="H291" i="1"/>
  <c r="G291" i="1"/>
  <c r="D291" i="1"/>
  <c r="H290" i="1"/>
  <c r="G290" i="1"/>
  <c r="D290" i="1"/>
  <c r="H289" i="1"/>
  <c r="G289" i="1"/>
  <c r="D289" i="1"/>
  <c r="H288" i="1"/>
  <c r="G288" i="1"/>
  <c r="D288" i="1"/>
  <c r="H287" i="1"/>
  <c r="G287" i="1"/>
  <c r="D287" i="1"/>
  <c r="H286" i="1"/>
  <c r="G286" i="1"/>
  <c r="D286" i="1"/>
  <c r="H285" i="1"/>
  <c r="G285" i="1"/>
  <c r="D285" i="1"/>
  <c r="H284" i="1"/>
  <c r="G284" i="1"/>
  <c r="D284" i="1"/>
  <c r="H283" i="1"/>
  <c r="G283" i="1"/>
  <c r="D283" i="1"/>
  <c r="H282" i="1"/>
  <c r="G282" i="1"/>
  <c r="D282" i="1"/>
  <c r="H281" i="1"/>
  <c r="G281" i="1"/>
  <c r="D281" i="1"/>
  <c r="H280" i="1"/>
  <c r="G280" i="1"/>
  <c r="D280" i="1"/>
  <c r="H279" i="1"/>
  <c r="G279" i="1"/>
  <c r="D279" i="1"/>
  <c r="H278" i="1"/>
  <c r="G278" i="1"/>
  <c r="D278" i="1"/>
  <c r="H277" i="1"/>
  <c r="G277" i="1"/>
  <c r="D277" i="1"/>
  <c r="H276" i="1"/>
  <c r="G276" i="1"/>
  <c r="D276" i="1"/>
  <c r="H275" i="1"/>
  <c r="G275" i="1"/>
  <c r="D275" i="1"/>
  <c r="H274" i="1"/>
  <c r="G274" i="1"/>
  <c r="D274" i="1"/>
  <c r="H273" i="1"/>
  <c r="G273" i="1"/>
  <c r="D273" i="1"/>
  <c r="H272" i="1"/>
  <c r="G272" i="1"/>
  <c r="D272" i="1"/>
  <c r="H271" i="1"/>
  <c r="G271" i="1"/>
  <c r="D271" i="1"/>
  <c r="H270" i="1"/>
  <c r="G270" i="1"/>
  <c r="D270" i="1"/>
  <c r="H269" i="1"/>
  <c r="G269" i="1"/>
  <c r="D269" i="1"/>
  <c r="H268" i="1"/>
  <c r="G268" i="1"/>
  <c r="D268" i="1"/>
  <c r="H267" i="1"/>
  <c r="G267" i="1"/>
  <c r="D267" i="1"/>
  <c r="H266" i="1"/>
  <c r="G266" i="1"/>
  <c r="D266" i="1"/>
  <c r="H265" i="1"/>
  <c r="G265" i="1"/>
  <c r="D265" i="1"/>
  <c r="H264" i="1"/>
  <c r="G264" i="1"/>
  <c r="D264" i="1"/>
  <c r="H263" i="1"/>
  <c r="G263" i="1"/>
  <c r="D263" i="1"/>
  <c r="H262" i="1"/>
  <c r="G262" i="1"/>
  <c r="D262" i="1"/>
  <c r="H261" i="1"/>
  <c r="G261" i="1"/>
  <c r="D261" i="1"/>
  <c r="H260" i="1"/>
  <c r="G260" i="1"/>
  <c r="D260" i="1"/>
  <c r="H259" i="1"/>
  <c r="G259" i="1"/>
  <c r="D259" i="1"/>
  <c r="H258" i="1"/>
  <c r="G258" i="1"/>
  <c r="D258" i="1"/>
  <c r="H257" i="1"/>
  <c r="G257" i="1"/>
  <c r="D257" i="1"/>
  <c r="H256" i="1"/>
  <c r="G256" i="1"/>
  <c r="D256" i="1"/>
  <c r="H255" i="1"/>
  <c r="G255" i="1"/>
  <c r="D255" i="1"/>
  <c r="H254" i="1"/>
  <c r="G254" i="1"/>
  <c r="D254" i="1"/>
  <c r="H253" i="1"/>
  <c r="G253" i="1"/>
  <c r="D253" i="1"/>
  <c r="H252" i="1"/>
  <c r="G252" i="1"/>
  <c r="D252" i="1"/>
  <c r="H251" i="1"/>
  <c r="G251" i="1"/>
  <c r="D251" i="1"/>
  <c r="H250" i="1"/>
  <c r="G250" i="1"/>
  <c r="D250" i="1"/>
  <c r="H249" i="1"/>
  <c r="G249" i="1"/>
  <c r="D249" i="1"/>
  <c r="H248" i="1"/>
  <c r="G248" i="1"/>
  <c r="D248" i="1"/>
  <c r="H247" i="1"/>
  <c r="G247" i="1"/>
  <c r="D247" i="1"/>
  <c r="H246" i="1"/>
  <c r="G246" i="1"/>
  <c r="D246" i="1"/>
  <c r="H245" i="1"/>
  <c r="G245" i="1"/>
  <c r="D245" i="1"/>
  <c r="H244" i="1"/>
  <c r="G244" i="1"/>
  <c r="D244" i="1"/>
  <c r="H243" i="1"/>
  <c r="G243" i="1"/>
  <c r="D243" i="1"/>
  <c r="H242" i="1"/>
  <c r="G242" i="1"/>
  <c r="D242" i="1"/>
  <c r="H241" i="1"/>
  <c r="G241" i="1"/>
  <c r="D241" i="1"/>
  <c r="H240" i="1"/>
  <c r="G240" i="1"/>
  <c r="D240" i="1"/>
  <c r="H239" i="1"/>
  <c r="G239" i="1"/>
  <c r="D239" i="1"/>
  <c r="H238" i="1"/>
  <c r="G238" i="1"/>
  <c r="D238" i="1"/>
  <c r="H237" i="1"/>
  <c r="G237" i="1"/>
  <c r="D237" i="1"/>
  <c r="H236" i="1"/>
  <c r="G236" i="1"/>
  <c r="D236" i="1"/>
  <c r="H235" i="1"/>
  <c r="G235" i="1"/>
  <c r="D235" i="1"/>
  <c r="H234" i="1"/>
  <c r="G234" i="1"/>
  <c r="D234" i="1"/>
  <c r="H233" i="1"/>
  <c r="G233" i="1"/>
  <c r="D233" i="1"/>
  <c r="H232" i="1"/>
  <c r="G232" i="1"/>
  <c r="D232" i="1"/>
  <c r="H231" i="1"/>
  <c r="G231" i="1"/>
  <c r="D231" i="1"/>
  <c r="H230" i="1"/>
  <c r="G230" i="1"/>
  <c r="D230" i="1"/>
  <c r="H229" i="1"/>
  <c r="G229" i="1"/>
  <c r="D229" i="1"/>
  <c r="H228" i="1"/>
  <c r="G228" i="1"/>
  <c r="D228" i="1"/>
  <c r="H227" i="1"/>
  <c r="G227" i="1"/>
  <c r="D227" i="1"/>
  <c r="H226" i="1"/>
  <c r="G226" i="1"/>
  <c r="D226" i="1"/>
  <c r="H225" i="1"/>
  <c r="G225" i="1"/>
  <c r="D225" i="1"/>
  <c r="H224" i="1"/>
  <c r="G224" i="1"/>
  <c r="D224" i="1"/>
  <c r="H223" i="1"/>
  <c r="G223" i="1"/>
  <c r="D223" i="1"/>
  <c r="H222" i="1"/>
  <c r="G222" i="1"/>
  <c r="D222" i="1"/>
  <c r="H221" i="1"/>
  <c r="G221" i="1"/>
  <c r="D221" i="1"/>
  <c r="H220" i="1"/>
  <c r="G220" i="1"/>
  <c r="D220" i="1"/>
  <c r="H219" i="1"/>
  <c r="G219" i="1"/>
  <c r="D219" i="1"/>
  <c r="H218" i="1"/>
  <c r="G218" i="1"/>
  <c r="D218" i="1"/>
  <c r="H217" i="1"/>
  <c r="G217" i="1"/>
  <c r="D217" i="1"/>
  <c r="H216" i="1"/>
  <c r="G216" i="1"/>
  <c r="D216" i="1"/>
  <c r="H215" i="1"/>
  <c r="G215" i="1"/>
  <c r="D215" i="1"/>
  <c r="H214" i="1"/>
  <c r="G214" i="1"/>
  <c r="D214" i="1"/>
  <c r="H213" i="1"/>
  <c r="G213" i="1"/>
  <c r="D213" i="1"/>
  <c r="H212" i="1"/>
  <c r="G212" i="1"/>
  <c r="D212" i="1"/>
  <c r="H211" i="1"/>
  <c r="G211" i="1"/>
  <c r="D211" i="1"/>
  <c r="H210" i="1"/>
  <c r="G210" i="1"/>
  <c r="D210" i="1"/>
  <c r="H209" i="1"/>
  <c r="G209" i="1"/>
  <c r="D209" i="1"/>
  <c r="H208" i="1"/>
  <c r="G208" i="1"/>
  <c r="D208" i="1"/>
  <c r="H207" i="1"/>
  <c r="G207" i="1"/>
  <c r="D207" i="1"/>
  <c r="H206" i="1"/>
  <c r="G206" i="1"/>
  <c r="D206" i="1"/>
  <c r="H205" i="1"/>
  <c r="G205" i="1"/>
  <c r="D205" i="1"/>
  <c r="H204" i="1"/>
  <c r="G204" i="1"/>
  <c r="D204" i="1"/>
  <c r="H203" i="1"/>
  <c r="G203" i="1"/>
  <c r="D203" i="1"/>
  <c r="H202" i="1"/>
  <c r="G202" i="1"/>
  <c r="D202" i="1"/>
  <c r="H201" i="1"/>
  <c r="G201" i="1"/>
  <c r="D201" i="1"/>
  <c r="H200" i="1"/>
  <c r="G200" i="1"/>
  <c r="D200" i="1"/>
  <c r="H199" i="1"/>
  <c r="G199" i="1"/>
  <c r="D199" i="1"/>
  <c r="H198" i="1"/>
  <c r="G198" i="1"/>
  <c r="D198" i="1"/>
  <c r="H197" i="1"/>
  <c r="G197" i="1"/>
  <c r="D197" i="1"/>
  <c r="H196" i="1"/>
  <c r="G196" i="1"/>
  <c r="D196" i="1"/>
  <c r="H195" i="1"/>
  <c r="G195" i="1"/>
  <c r="D195" i="1"/>
  <c r="H194" i="1"/>
  <c r="G194" i="1"/>
  <c r="D194" i="1"/>
  <c r="H193" i="1"/>
  <c r="G193" i="1"/>
  <c r="D193" i="1"/>
  <c r="H192" i="1"/>
  <c r="G192" i="1"/>
  <c r="D192" i="1"/>
  <c r="H191" i="1"/>
  <c r="G191" i="1"/>
  <c r="D191" i="1"/>
  <c r="H190" i="1"/>
  <c r="G190" i="1"/>
  <c r="D190" i="1"/>
  <c r="H189" i="1"/>
  <c r="G189" i="1"/>
  <c r="D189" i="1"/>
  <c r="H188" i="1"/>
  <c r="G188" i="1"/>
  <c r="D188" i="1"/>
  <c r="H187" i="1"/>
  <c r="G187" i="1"/>
  <c r="D187" i="1"/>
  <c r="H186" i="1"/>
  <c r="G186" i="1"/>
  <c r="D186" i="1"/>
  <c r="H185" i="1"/>
  <c r="G185" i="1"/>
  <c r="D185" i="1"/>
  <c r="H184" i="1"/>
  <c r="G184" i="1"/>
  <c r="D184" i="1"/>
  <c r="H183" i="1"/>
  <c r="G183" i="1"/>
  <c r="D183" i="1"/>
  <c r="H182" i="1"/>
  <c r="G182" i="1"/>
  <c r="D182" i="1"/>
  <c r="H181" i="1"/>
  <c r="G181" i="1"/>
  <c r="D181" i="1"/>
  <c r="H180" i="1"/>
  <c r="G180" i="1"/>
  <c r="D180" i="1"/>
  <c r="H179" i="1"/>
  <c r="G179" i="1"/>
  <c r="D179" i="1"/>
  <c r="H178" i="1"/>
  <c r="G178" i="1"/>
  <c r="D178" i="1"/>
  <c r="H177" i="1"/>
  <c r="G177" i="1"/>
  <c r="D177" i="1"/>
  <c r="H176" i="1"/>
  <c r="G176" i="1"/>
  <c r="D176" i="1"/>
  <c r="H175" i="1"/>
  <c r="G175" i="1"/>
  <c r="D175" i="1"/>
  <c r="H174" i="1"/>
  <c r="G174" i="1"/>
  <c r="D174" i="1"/>
  <c r="H173" i="1"/>
  <c r="G173" i="1"/>
  <c r="D173" i="1"/>
  <c r="H172" i="1"/>
  <c r="G172" i="1"/>
  <c r="D172" i="1"/>
  <c r="H171" i="1"/>
  <c r="G171" i="1"/>
  <c r="D171" i="1"/>
  <c r="H170" i="1"/>
  <c r="G170" i="1"/>
  <c r="D170" i="1"/>
  <c r="H169" i="1"/>
  <c r="G169" i="1"/>
  <c r="D169" i="1"/>
  <c r="H168" i="1"/>
  <c r="G168" i="1"/>
  <c r="D168" i="1"/>
  <c r="H167" i="1"/>
  <c r="G167" i="1"/>
  <c r="D167" i="1"/>
  <c r="H166" i="1"/>
  <c r="G166" i="1"/>
  <c r="D166" i="1"/>
  <c r="H165" i="1"/>
  <c r="G165" i="1"/>
  <c r="D165" i="1"/>
  <c r="H164" i="1"/>
  <c r="G164" i="1"/>
  <c r="D164" i="1"/>
  <c r="H163" i="1"/>
  <c r="G163" i="1"/>
  <c r="D163" i="1"/>
  <c r="H162" i="1"/>
  <c r="G162" i="1"/>
  <c r="D162" i="1"/>
  <c r="H161" i="1"/>
  <c r="G161" i="1"/>
  <c r="D161" i="1"/>
  <c r="H160" i="1"/>
  <c r="G160" i="1"/>
  <c r="D160" i="1"/>
  <c r="H159" i="1"/>
  <c r="G159" i="1"/>
  <c r="D159" i="1"/>
  <c r="H158" i="1"/>
  <c r="G158" i="1"/>
  <c r="D158" i="1"/>
  <c r="H157" i="1"/>
  <c r="G157" i="1"/>
  <c r="D157" i="1"/>
  <c r="H156" i="1"/>
  <c r="G156" i="1"/>
  <c r="D156" i="1"/>
  <c r="H155" i="1"/>
  <c r="G155" i="1"/>
  <c r="D155" i="1"/>
  <c r="H154" i="1"/>
  <c r="G154" i="1"/>
  <c r="D154" i="1"/>
  <c r="H153" i="1"/>
  <c r="G153" i="1"/>
  <c r="D153" i="1"/>
  <c r="H152" i="1"/>
  <c r="G152" i="1"/>
  <c r="D152" i="1"/>
  <c r="H151" i="1"/>
  <c r="G151" i="1"/>
  <c r="D151" i="1"/>
  <c r="H150" i="1"/>
  <c r="G150" i="1"/>
  <c r="D150" i="1"/>
  <c r="H149" i="1"/>
  <c r="G149" i="1"/>
  <c r="D149" i="1"/>
  <c r="H148" i="1"/>
  <c r="G148" i="1"/>
  <c r="D148" i="1"/>
  <c r="H147" i="1"/>
  <c r="G147" i="1"/>
  <c r="D147" i="1"/>
  <c r="H146" i="1"/>
  <c r="G146" i="1"/>
  <c r="D146" i="1"/>
  <c r="H145" i="1"/>
  <c r="G145" i="1"/>
  <c r="D145" i="1"/>
  <c r="H144" i="1"/>
  <c r="G144" i="1"/>
  <c r="D144" i="1"/>
  <c r="H143" i="1"/>
  <c r="G143" i="1"/>
  <c r="D143" i="1"/>
  <c r="H142" i="1"/>
  <c r="G142" i="1"/>
  <c r="D142" i="1"/>
  <c r="H141" i="1"/>
  <c r="G141" i="1"/>
  <c r="D141" i="1"/>
  <c r="H140" i="1"/>
  <c r="G140" i="1"/>
  <c r="D140" i="1"/>
  <c r="H139" i="1"/>
  <c r="G139" i="1"/>
  <c r="D139" i="1"/>
  <c r="H138" i="1"/>
  <c r="G138" i="1"/>
  <c r="D138" i="1"/>
  <c r="H137" i="1"/>
  <c r="G137" i="1"/>
  <c r="D137" i="1"/>
  <c r="H136" i="1"/>
  <c r="G136" i="1"/>
  <c r="D136" i="1"/>
  <c r="H135" i="1"/>
  <c r="G135" i="1"/>
  <c r="D135" i="1"/>
  <c r="H134" i="1"/>
  <c r="G134" i="1"/>
  <c r="D134" i="1"/>
  <c r="H133" i="1"/>
  <c r="G133" i="1"/>
  <c r="D133" i="1"/>
  <c r="H132" i="1"/>
  <c r="G132" i="1"/>
  <c r="D132" i="1"/>
  <c r="H131" i="1"/>
  <c r="G131" i="1"/>
  <c r="D131" i="1"/>
  <c r="H130" i="1"/>
  <c r="G130" i="1"/>
  <c r="D130" i="1"/>
  <c r="H129" i="1"/>
  <c r="G129" i="1"/>
  <c r="D129" i="1"/>
  <c r="H128" i="1"/>
  <c r="G128" i="1"/>
  <c r="D128" i="1"/>
  <c r="H127" i="1"/>
  <c r="G127" i="1"/>
  <c r="D127" i="1"/>
  <c r="H126" i="1"/>
  <c r="G126" i="1"/>
  <c r="D126" i="1"/>
  <c r="H125" i="1"/>
  <c r="G125" i="1"/>
  <c r="D125" i="1"/>
  <c r="H124" i="1"/>
  <c r="G124" i="1"/>
  <c r="D124" i="1"/>
  <c r="H123" i="1"/>
  <c r="G123" i="1"/>
  <c r="D123" i="1"/>
  <c r="H122" i="1"/>
  <c r="G122" i="1"/>
  <c r="D122" i="1"/>
  <c r="H121" i="1"/>
  <c r="G121" i="1"/>
  <c r="D121" i="1"/>
  <c r="H120" i="1"/>
  <c r="G120" i="1"/>
  <c r="D120" i="1"/>
  <c r="H119" i="1"/>
  <c r="G119" i="1"/>
  <c r="D119" i="1"/>
  <c r="H118" i="1"/>
  <c r="G118" i="1"/>
  <c r="D118" i="1"/>
  <c r="H117" i="1"/>
  <c r="G117" i="1"/>
  <c r="D117" i="1"/>
  <c r="H116" i="1"/>
  <c r="G116" i="1"/>
  <c r="D116" i="1"/>
  <c r="H115" i="1"/>
  <c r="G115" i="1"/>
  <c r="D115" i="1"/>
  <c r="H114" i="1"/>
  <c r="G114" i="1"/>
  <c r="D114" i="1"/>
  <c r="H113" i="1"/>
  <c r="G113" i="1"/>
  <c r="D113" i="1"/>
  <c r="H112" i="1"/>
  <c r="G112" i="1"/>
  <c r="D112" i="1"/>
  <c r="H111" i="1"/>
  <c r="G111" i="1"/>
  <c r="D111" i="1"/>
  <c r="H110" i="1"/>
  <c r="G110" i="1"/>
  <c r="D110" i="1"/>
  <c r="H109" i="1"/>
  <c r="G109" i="1"/>
  <c r="D109" i="1"/>
  <c r="H108" i="1"/>
  <c r="G108" i="1"/>
  <c r="D108" i="1"/>
  <c r="H107" i="1"/>
  <c r="G107" i="1"/>
  <c r="D107" i="1"/>
  <c r="H106" i="1"/>
  <c r="G106" i="1"/>
  <c r="D106" i="1"/>
  <c r="H105" i="1"/>
  <c r="G105" i="1"/>
  <c r="D105" i="1"/>
  <c r="H104" i="1"/>
  <c r="G104" i="1"/>
  <c r="D104" i="1"/>
  <c r="H103" i="1"/>
  <c r="G103" i="1"/>
  <c r="D103" i="1"/>
  <c r="H102" i="1"/>
  <c r="G102" i="1"/>
  <c r="D102" i="1"/>
  <c r="H101" i="1"/>
  <c r="G101" i="1"/>
  <c r="D101" i="1"/>
  <c r="H100" i="1"/>
  <c r="G100" i="1"/>
  <c r="D100" i="1"/>
  <c r="H99" i="1"/>
  <c r="G99" i="1"/>
  <c r="D99" i="1"/>
  <c r="H98" i="1"/>
  <c r="G98" i="1"/>
  <c r="D98" i="1"/>
  <c r="H97" i="1"/>
  <c r="G97" i="1"/>
  <c r="D97" i="1"/>
  <c r="H96" i="1"/>
  <c r="G96" i="1"/>
  <c r="D96" i="1"/>
  <c r="H95" i="1"/>
  <c r="G95" i="1"/>
  <c r="D95" i="1"/>
  <c r="H94" i="1"/>
  <c r="G94" i="1"/>
  <c r="D94" i="1"/>
  <c r="H93" i="1"/>
  <c r="G93" i="1"/>
  <c r="D93" i="1"/>
  <c r="H92" i="1"/>
  <c r="G92" i="1"/>
  <c r="D92" i="1"/>
  <c r="H91" i="1"/>
  <c r="G91" i="1"/>
  <c r="D91" i="1"/>
  <c r="H90" i="1"/>
  <c r="G90" i="1"/>
  <c r="D90" i="1"/>
  <c r="H89" i="1"/>
  <c r="G89" i="1"/>
  <c r="D89" i="1"/>
  <c r="H88" i="1"/>
  <c r="G88" i="1"/>
  <c r="D88" i="1"/>
  <c r="H87" i="1"/>
  <c r="G87" i="1"/>
  <c r="D87" i="1"/>
  <c r="H86" i="1"/>
  <c r="G86" i="1"/>
  <c r="D86" i="1"/>
  <c r="H85" i="1"/>
  <c r="G85" i="1"/>
  <c r="D85" i="1"/>
  <c r="H84" i="1"/>
  <c r="G84" i="1"/>
  <c r="D84" i="1"/>
  <c r="H83" i="1"/>
  <c r="G83" i="1"/>
  <c r="D83" i="1"/>
  <c r="H82" i="1"/>
  <c r="G82" i="1"/>
  <c r="D82" i="1"/>
  <c r="H81" i="1"/>
  <c r="G81" i="1"/>
  <c r="D81" i="1"/>
  <c r="H80" i="1"/>
  <c r="G80" i="1"/>
  <c r="D80" i="1"/>
  <c r="H79" i="1"/>
  <c r="G79" i="1"/>
  <c r="D79" i="1"/>
  <c r="H78" i="1"/>
  <c r="G78" i="1"/>
  <c r="D78" i="1"/>
  <c r="H77" i="1"/>
  <c r="G77" i="1"/>
  <c r="D77" i="1"/>
  <c r="H76" i="1"/>
  <c r="G76" i="1"/>
  <c r="D76" i="1"/>
  <c r="H75" i="1"/>
  <c r="G75" i="1"/>
  <c r="D75" i="1"/>
  <c r="H74" i="1"/>
  <c r="G74" i="1"/>
  <c r="D74" i="1"/>
  <c r="H73" i="1"/>
  <c r="G73" i="1"/>
  <c r="D73" i="1"/>
  <c r="H72" i="1"/>
  <c r="G72" i="1"/>
  <c r="D72" i="1"/>
  <c r="H71" i="1"/>
  <c r="G71" i="1"/>
  <c r="D71" i="1"/>
  <c r="H70" i="1"/>
  <c r="G70" i="1"/>
  <c r="D70" i="1"/>
  <c r="H69" i="1"/>
  <c r="G69" i="1"/>
  <c r="D69" i="1"/>
  <c r="H68" i="1"/>
  <c r="G68" i="1"/>
  <c r="D68" i="1"/>
  <c r="H67" i="1"/>
  <c r="G67" i="1"/>
  <c r="D67" i="1"/>
  <c r="H66" i="1"/>
  <c r="G66" i="1"/>
  <c r="D66" i="1"/>
  <c r="H65" i="1"/>
  <c r="G65" i="1"/>
  <c r="D65" i="1"/>
  <c r="H64" i="1"/>
  <c r="G64" i="1"/>
  <c r="D64" i="1"/>
  <c r="H63" i="1"/>
  <c r="G63" i="1"/>
  <c r="D63" i="1"/>
  <c r="H62" i="1"/>
  <c r="G62" i="1"/>
  <c r="D62" i="1"/>
  <c r="H61" i="1"/>
  <c r="G61" i="1"/>
  <c r="D61" i="1"/>
  <c r="H60" i="1"/>
  <c r="G60" i="1"/>
  <c r="D60" i="1"/>
  <c r="H59" i="1"/>
  <c r="G59" i="1"/>
  <c r="D59" i="1"/>
  <c r="H58" i="1"/>
  <c r="G58" i="1"/>
  <c r="D58" i="1"/>
  <c r="H57" i="1"/>
  <c r="G57" i="1"/>
  <c r="D57" i="1"/>
  <c r="H56" i="1"/>
  <c r="G56" i="1"/>
  <c r="D56" i="1"/>
  <c r="H55" i="1"/>
  <c r="G55" i="1"/>
  <c r="D55" i="1"/>
  <c r="H54" i="1"/>
  <c r="G54" i="1"/>
  <c r="D54" i="1"/>
  <c r="H53" i="1"/>
  <c r="G53" i="1"/>
  <c r="D53" i="1"/>
  <c r="H52" i="1"/>
  <c r="G52" i="1"/>
  <c r="D52" i="1"/>
  <c r="H51" i="1"/>
  <c r="G51" i="1"/>
  <c r="D51" i="1"/>
  <c r="H50" i="1"/>
  <c r="G50" i="1"/>
  <c r="D50" i="1"/>
  <c r="H49" i="1"/>
  <c r="G49" i="1"/>
  <c r="D49" i="1"/>
  <c r="H48" i="1"/>
  <c r="G48" i="1"/>
  <c r="D48" i="1"/>
  <c r="H47" i="1"/>
  <c r="G47" i="1"/>
  <c r="D47" i="1"/>
  <c r="H46" i="1"/>
  <c r="G46" i="1"/>
  <c r="D46" i="1"/>
  <c r="H45" i="1"/>
  <c r="G45" i="1"/>
  <c r="D45" i="1"/>
  <c r="H44" i="1"/>
  <c r="G44" i="1"/>
  <c r="D44" i="1"/>
  <c r="H43" i="1"/>
  <c r="G43" i="1"/>
  <c r="D43" i="1"/>
  <c r="H42" i="1"/>
  <c r="G42" i="1"/>
  <c r="D42" i="1"/>
  <c r="H41" i="1"/>
  <c r="G41" i="1"/>
  <c r="D41" i="1"/>
  <c r="H40" i="1"/>
  <c r="G40" i="1"/>
  <c r="D40" i="1"/>
  <c r="H39" i="1"/>
  <c r="G39" i="1"/>
  <c r="D39" i="1"/>
  <c r="H38" i="1"/>
  <c r="G38" i="1"/>
  <c r="D38" i="1"/>
  <c r="H37" i="1"/>
  <c r="G37" i="1"/>
  <c r="D37" i="1"/>
  <c r="H36" i="1"/>
  <c r="G36" i="1"/>
  <c r="D36" i="1"/>
  <c r="H35" i="1"/>
  <c r="G35" i="1"/>
  <c r="D35" i="1"/>
  <c r="H34" i="1"/>
  <c r="G34" i="1"/>
  <c r="D34" i="1"/>
  <c r="H33" i="1"/>
  <c r="G33" i="1"/>
  <c r="D33" i="1"/>
  <c r="H32" i="1"/>
  <c r="G32" i="1"/>
  <c r="D32" i="1"/>
  <c r="H31" i="1"/>
  <c r="G31" i="1"/>
  <c r="D31" i="1"/>
  <c r="H30" i="1"/>
  <c r="G30" i="1"/>
  <c r="D30" i="1"/>
  <c r="H29" i="1"/>
  <c r="G29" i="1"/>
  <c r="D29" i="1"/>
  <c r="H28" i="1"/>
  <c r="G28" i="1"/>
  <c r="D28" i="1"/>
  <c r="D27" i="1"/>
  <c r="H26" i="1"/>
  <c r="G26" i="1"/>
  <c r="D26" i="1"/>
  <c r="H25" i="1"/>
  <c r="G25" i="1"/>
  <c r="D25" i="1"/>
  <c r="H24" i="1"/>
  <c r="G24" i="1"/>
  <c r="D24" i="1"/>
  <c r="H23" i="1"/>
  <c r="G23" i="1"/>
  <c r="D23" i="1"/>
  <c r="H22" i="1"/>
  <c r="G22" i="1"/>
  <c r="D22" i="1"/>
  <c r="H21" i="1"/>
  <c r="G21" i="1"/>
  <c r="D21" i="1"/>
  <c r="H20" i="1"/>
  <c r="G20" i="1"/>
  <c r="D20" i="1"/>
  <c r="H19" i="1"/>
  <c r="G19" i="1"/>
  <c r="D19" i="1"/>
  <c r="D18" i="1"/>
  <c r="H17" i="1"/>
  <c r="G17" i="1"/>
  <c r="D17" i="1"/>
  <c r="H16" i="1"/>
  <c r="G16" i="1"/>
  <c r="D16" i="1"/>
  <c r="D15" i="1"/>
  <c r="D14" i="1"/>
  <c r="D13" i="1"/>
  <c r="D12" i="1"/>
  <c r="D11" i="1"/>
  <c r="D10" i="1"/>
  <c r="D9" i="1"/>
  <c r="D8" i="1"/>
  <c r="H7" i="1"/>
  <c r="G7" i="1"/>
  <c r="D7" i="1"/>
  <c r="H6" i="1"/>
  <c r="G6" i="1"/>
  <c r="D6" i="1"/>
  <c r="H5" i="1"/>
  <c r="G5" i="1"/>
  <c r="D5" i="1"/>
  <c r="H4" i="1"/>
  <c r="G4" i="1"/>
  <c r="D4" i="1"/>
  <c r="H3" i="1"/>
  <c r="G3" i="1"/>
  <c r="D3" i="1"/>
  <c r="H2" i="1"/>
  <c r="G2" i="1"/>
  <c r="D2" i="1"/>
</calcChain>
</file>

<file path=xl/sharedStrings.xml><?xml version="1.0" encoding="utf-8"?>
<sst xmlns="http://schemas.openxmlformats.org/spreadsheetml/2006/main" count="1978" uniqueCount="499">
  <si>
    <t>Date</t>
  </si>
  <si>
    <t>Time entered</t>
  </si>
  <si>
    <t>Exit time</t>
  </si>
  <si>
    <t>Duration</t>
  </si>
  <si>
    <t>BASSINS</t>
  </si>
  <si>
    <t>Code</t>
  </si>
  <si>
    <t>Behavior / Activity</t>
  </si>
  <si>
    <t>Description</t>
  </si>
  <si>
    <t>Notes</t>
  </si>
  <si>
    <t>P1</t>
  </si>
  <si>
    <t>Normal activity</t>
  </si>
  <si>
    <t>Regular swimming, even distribution</t>
  </si>
  <si>
    <t>P2</t>
  </si>
  <si>
    <t>Clustering / aggregation</t>
  </si>
  <si>
    <t>Fish grouped in one corner</t>
  </si>
  <si>
    <t>P3</t>
  </si>
  <si>
    <t>Agitation</t>
  </si>
  <si>
    <t>Rapid swimming, escape behavior</t>
  </si>
  <si>
    <t>P4</t>
  </si>
  <si>
    <t>Lethargy</t>
  </si>
  <si>
    <t>Little movement</t>
  </si>
  <si>
    <t>P5</t>
  </si>
  <si>
    <t>Jumping / splashing</t>
  </si>
  <si>
    <t>Jumping out of the water</t>
  </si>
  <si>
    <t>P6</t>
  </si>
  <si>
    <t>Reactivity to noise</t>
  </si>
  <si>
    <t>Reaction to a tool or impact</t>
  </si>
  <si>
    <t>B-1</t>
  </si>
  <si>
    <t>B-2</t>
  </si>
  <si>
    <t>B-3</t>
  </si>
  <si>
    <t>REGROUPEMENT SOUS L'ARRIVÉE D'EAU</t>
  </si>
  <si>
    <t>B-4</t>
  </si>
  <si>
    <t>RÉACTIF</t>
  </si>
  <si>
    <t>ALIMENT BEAUCOUP EN SURFACE TOUS LES BASSINS</t>
  </si>
  <si>
    <t>AGITATION ET BONNE ALIMENTATION</t>
  </si>
  <si>
    <t>BONNE ALIMENTATION SAUT /AGITATION</t>
  </si>
  <si>
    <t xml:space="preserve">AUCUNE RÉACTION ET ALIMENTATION </t>
  </si>
  <si>
    <t>SAUT ET ALIMENTATION A1</t>
  </si>
  <si>
    <t>NA</t>
  </si>
  <si>
    <t xml:space="preserve">LÉGÈERE AGITATION </t>
  </si>
  <si>
    <t>ALIMENTATION</t>
  </si>
  <si>
    <t>SAUT ET FRÉNÉSIE BONNE ALIMENTATION</t>
  </si>
  <si>
    <t>BONNE ALIMENTATION</t>
  </si>
  <si>
    <t>PAS ALIMENTATION RESTE CALME NE MANGE PAS</t>
  </si>
  <si>
    <t>MANGE BIEN MAIS CALME ET NON STRESSÉ</t>
  </si>
  <si>
    <t>REGROUPEMENT AU FOND</t>
  </si>
  <si>
    <t>DISPERSÉ AU FOND NOURRITURE EN SURFACE</t>
  </si>
  <si>
    <t xml:space="preserve">P1 </t>
  </si>
  <si>
    <t>REGROUPÉ AU FOND</t>
  </si>
  <si>
    <t>SAUT POUR 2 POISSONS  P1 NOURRITURE EN SURFACE</t>
  </si>
  <si>
    <t>B-1 À B-5</t>
  </si>
  <si>
    <t xml:space="preserve">ALIMENTATION </t>
  </si>
  <si>
    <t>14:09 P3 CAR ME SUIS APPROCHÉ TROP PRÊT</t>
  </si>
  <si>
    <t>POISSON EN FUITE QUAND JE ME SUIS APPROCHÉE</t>
  </si>
  <si>
    <t>SAUF 2 POISSONS SÉPARÉS</t>
  </si>
  <si>
    <t xml:space="preserve">LÉGER EXCITATION  POISSON MALADE </t>
  </si>
  <si>
    <t>CONCENTRATION POISSON</t>
  </si>
  <si>
    <t>POISSON EN SURFACE</t>
  </si>
  <si>
    <t>PAS LAIMENTATION</t>
  </si>
  <si>
    <t>BONNE ALIMENTATION SAUT EN SURFACE</t>
  </si>
  <si>
    <t>PAS DE RÉACTION LÉGER AGITATION</t>
  </si>
  <si>
    <t>QUELQUES MOUES DE BRASSAGES EN SURFACE MAIS CALME</t>
  </si>
  <si>
    <t>MANQUE DE LUMIÈRE STRESS ET RÉACTIF</t>
  </si>
  <si>
    <t>NORMAL</t>
  </si>
  <si>
    <t>AGITATION LÈGÈRE</t>
  </si>
  <si>
    <t>LÈGÈRE ALIMEMNTATION PEU DE FRÉNÉSIE</t>
  </si>
  <si>
    <t>LÉGÈRE ALIMENTATION MONTÉE EN SURFACE DOUCEMENT</t>
  </si>
  <si>
    <t>AUCUNE ALIMENTATION OBSERVER PEU AGITÉ</t>
  </si>
  <si>
    <t>SAUT EST BONNE ALIMENTATION</t>
  </si>
  <si>
    <t xml:space="preserve">POISSON TOUS ENSEMBLE SOUS L'ARRIVÉÉ D'EAU </t>
  </si>
  <si>
    <t>EN SURFACE</t>
  </si>
  <si>
    <t>RÉACTION À LA NOURRITURE MODERE</t>
  </si>
  <si>
    <t>RÉACTION À LA NOURRITURE MODERE B-1 MONTE BIEN EN SURFACE EXCITÉ</t>
  </si>
  <si>
    <t>MANGE BIEN SONT EXCITÉ</t>
  </si>
  <si>
    <t>MANGE BIEN FRÉNÉSIE</t>
  </si>
  <si>
    <t>REGROUPÉ EN SURFACE</t>
  </si>
  <si>
    <t>N/A</t>
  </si>
  <si>
    <t>MANGE PEUX MAIS AGITÉ</t>
  </si>
  <si>
    <t>MANGE PEU MAIS CALME</t>
  </si>
  <si>
    <t>AGITÉ, MANGE BIEN</t>
  </si>
  <si>
    <t>MANGE TRÈS BIEN MONTE EN SURFACE CALMEMENT</t>
  </si>
  <si>
    <t>POISSON CALME</t>
  </si>
  <si>
    <t>CALME</t>
  </si>
  <si>
    <t>CALME EN SURFACE</t>
  </si>
  <si>
    <t>LEGEREMENT EXCITÉ MANGE BIEN</t>
  </si>
  <si>
    <t>MANGE BIEN CALME</t>
  </si>
  <si>
    <t>CALME PEU DE NOURRITURE TOMBE DANS LE BASSIN</t>
  </si>
  <si>
    <t>CALME AU FOND</t>
  </si>
  <si>
    <t>REGROUPÉS AU FOND SAUF 2</t>
  </si>
  <si>
    <t>REGROUPÉSSAUF 3 DONT 1 SE FROTTE SUR LE FOND 1 NAGE PLUS RAPIDEMENT À MON APPROCHE C'EST UNE FEMELLE</t>
  </si>
  <si>
    <t>SAUF QUELQUES UN QUI NAGENT SÉPAREMENT</t>
  </si>
  <si>
    <t>P2 PARFOIS POUR CERTAIN INDIVIDUS</t>
  </si>
  <si>
    <t>FEMELLE P3 SE FROTTE NAGE SUR LE CÔTÉ, NAGE STATIQUE REGROUPÉS</t>
  </si>
  <si>
    <t>SAUF 3 QUI SONT DISPERSÉS, NAGE RÉGULIREMENT STATIQUE</t>
  </si>
  <si>
    <t>SAUF 3 DISPERSÉS DANS LE BASSIN NAGE REGULIEREMENT STATIQUES</t>
  </si>
  <si>
    <t>11:02P3 CAR ON EU PEUR DE MOI</t>
  </si>
  <si>
    <t>DSAUF 2 POISSONS NAGE DISPERSÉS ET FEMELLE SE FROTTE</t>
  </si>
  <si>
    <t xml:space="preserve">ON EU PEUR DE MOI </t>
  </si>
  <si>
    <t>ALIMENTATION B-1 À B-4</t>
  </si>
  <si>
    <t xml:space="preserve">NAGE STATIQUE GROUPÉS ET 2 NAGENT SÉPAREMENT </t>
  </si>
  <si>
    <t>NAGE STATIQUES SONT DISPERSÉS DANS LE BASSIN</t>
  </si>
  <si>
    <t>SAUF 2 NAGENT SÉPAREMENT DU GROUPE, 11:19 : P3  = POISSONS AGITÉS, CAR ILS M'ONT VUE</t>
  </si>
  <si>
    <t>FEMELLE NAGE EN SE FROTTANT AU FOND</t>
  </si>
  <si>
    <t>3 POISSONS NAGENT STATIQUES MAIS SÉPAREMENT DU GROUPE</t>
  </si>
  <si>
    <t>NAGE STATIQUE SAUF 1 QUI NAGE PLUS ACTIVEMENT DE TEMPS EN TEMPS</t>
  </si>
  <si>
    <t>12:33 P3 CAR ONT EU PEUR DE MOI P2 POUR UNE PARTIE DU GROUPE</t>
  </si>
  <si>
    <t>SAUF POUR LA FEMELLE QUI TOURNE SUR ELLE-MÊME EN NAGEANT</t>
  </si>
  <si>
    <t>2 NAGENT STATIQUE SÉPAREMENT  DU RESTE DU GROUPE LES AUTRES SONT GROUPÉS NAGENT STATIQUES ET FEMELLE NAGENT EN SE FROTTANT</t>
  </si>
  <si>
    <t>B-1 ÀB-4</t>
  </si>
  <si>
    <t>NAGE UN PEU PLUS ACTIVEMENT ET ÉCLOUBOUSSURES 12:47</t>
  </si>
  <si>
    <t>P3 À 12:49 POUR 2 POISSONSCAR ON EU PEUR</t>
  </si>
  <si>
    <t>SAUF POUR LA FEMELLE  P3 CAR SE FROTTE ENCORE</t>
  </si>
  <si>
    <t>14:09 P2 POUR CERATIN INDIVIDUS</t>
  </si>
  <si>
    <t>14:07 NAGE UN PEU PLUS ACTIVE DANS LE BASSIN 2, DE CERTAIN INDIVIDUS</t>
  </si>
  <si>
    <t>P3 POUR LA FEMELLE QUI AVANCE EN TOURNANTET SE FROTTANT DÉSORIENTATION</t>
  </si>
  <si>
    <t>SAUF CERTAIN INDIVIDUS SONT ACTIFS EN SURFACE MANGE ENCORE, 14:24 P2 POUR CERTAIN INDIVIDUS DU BASSIN, REDROUPÉS ENSEMBLES</t>
  </si>
  <si>
    <t>14:19 P3 D'UN INDIVIDU QUI A EU PEUR DE MOI</t>
  </si>
  <si>
    <t>REGROUPEMENT 4 INDIVIDUS</t>
  </si>
  <si>
    <t>REGROUPEMENT DES INDIVIDUS</t>
  </si>
  <si>
    <t>INDIVIDUS SAUT</t>
  </si>
  <si>
    <t xml:space="preserve">1 INDIVIDUS AGITÉ NAGE RAPIDEMENT </t>
  </si>
  <si>
    <t>2 INDIVIDUS AGITÉS</t>
  </si>
  <si>
    <t>1 INDIVIDU LÉTHARGIQUE</t>
  </si>
  <si>
    <t>PEU DE MOUVEMENT</t>
  </si>
  <si>
    <t>2 INDIVIDUS REGROUPÉS</t>
  </si>
  <si>
    <t>AGITATION</t>
  </si>
  <si>
    <t>LÉTARGIQUE</t>
  </si>
  <si>
    <t>REGOUPEMENT</t>
  </si>
  <si>
    <t>1 INDIVIDU AGITÉ</t>
  </si>
  <si>
    <t xml:space="preserve">ALIMENTATION TOURNÉE DES BASSIN </t>
  </si>
  <si>
    <t>TOUS REGROUPÉS DANS 1 COIN</t>
  </si>
  <si>
    <t>PAS DE MOUVEMENT</t>
  </si>
  <si>
    <t>VÉRIFICATION TOURNÉE</t>
  </si>
  <si>
    <t xml:space="preserve">PAS DE MOUVEMENT </t>
  </si>
  <si>
    <t>4 INDIVIDUS REGROUPÉS</t>
  </si>
  <si>
    <t>3 INDIVIDUS LÉTARGIQUES</t>
  </si>
  <si>
    <t>B-1 ÀB-5</t>
  </si>
  <si>
    <t>VÉRIFICATION VISUELLE</t>
  </si>
  <si>
    <t>NOURRISSAGE AUTOMATIQUE</t>
  </si>
  <si>
    <t xml:space="preserve">MOUVEMENT DANS LE BASSIN </t>
  </si>
  <si>
    <t>REGROUPEMENT DE 4 INDIVIDUS</t>
  </si>
  <si>
    <t>ALIMENTATION AUTOMATIQUE</t>
  </si>
  <si>
    <t>NAGE STATIQUE RÉGULIÈRE DANS LE FOND DU BASSIN</t>
  </si>
  <si>
    <t>NAGE STATIQUE REGULIERE DANS LE FOND DU BASSIN</t>
  </si>
  <si>
    <t>QUELQUES INDIVIDUS SEULS, NAGE STATIQUE REGULIÈRE</t>
  </si>
  <si>
    <t>CERATINS INDIVIDUS REGROUPÉS, NAGE STATIQUE REGULIÈRE</t>
  </si>
  <si>
    <t>NAGE STATIQUE REGULIÈRE DANS LE FOND</t>
  </si>
  <si>
    <t>CERTAINS SONT REGROUPÉS</t>
  </si>
  <si>
    <t>ALIMENTATION DE TOUS LES BASSIN B-1 À B-4</t>
  </si>
  <si>
    <t>09:43 UN POISSON S'EST ENFUI È MON APPROCHE</t>
  </si>
  <si>
    <t>NAGE RÉGULIÈRE STATIQUE</t>
  </si>
  <si>
    <t>CERTAINS SONT REGROUPÉS, NAGE STATIQUE REGULIÈRE</t>
  </si>
  <si>
    <t>NAGE STATIQUE REGULIÈRE</t>
  </si>
  <si>
    <t>09:46 INDIVIDU NAGE PLUS ACTIVE</t>
  </si>
  <si>
    <t>NAGE REGULIÈRE STATIQUE, CAERTAIN SONT INDIVIDUEL</t>
  </si>
  <si>
    <t>CERATINS INDIVIDUS REGROUPÉS, NAGE REGULIÈRE STATIQUE</t>
  </si>
  <si>
    <t>CERTAIN SONT REGROUPÉS, NAGE REGULIÈRE STATIQUE</t>
  </si>
  <si>
    <t>NAGE NORMALE, STATIQUE</t>
  </si>
  <si>
    <t>NSGR NORMALE STATIQUE</t>
  </si>
  <si>
    <t>CERTAINS INDIVIDUS SONT REGROUPÉS, NAGE NORMALE STATIQUE</t>
  </si>
  <si>
    <t>CERTAIN INDIVIDUS STATIQUES, NAGE NORMALE STATIQUE</t>
  </si>
  <si>
    <t>CERTAIN INDIVIDUS SONT SEULS, NAGE NORMAL STATIQUE</t>
  </si>
  <si>
    <t>UNE GROSSE PARTIE SONT REGROUPÉS SOUS LE NOURRISSEUR</t>
  </si>
  <si>
    <t>NAGE STATIQUE NORMAL POUR LE GROUPÉ AUSSI</t>
  </si>
  <si>
    <t>11:06 FUITE CAR ONT EU PEUR DE MOI</t>
  </si>
  <si>
    <t>NAGE REÉGULIÈRE STATIQUE</t>
  </si>
  <si>
    <t>NAGE REGULIÈRE STAIQUE</t>
  </si>
  <si>
    <t>UN INDIVIDUS SE DÉPLACE</t>
  </si>
  <si>
    <t>11:17 CERTAINS POISSONS NAGENT PLUS ACTIVEMENT</t>
  </si>
  <si>
    <t>11:18 VERTAIN POISSONS NAGENT PLUS ACTIVEMENT</t>
  </si>
  <si>
    <t>CERTAINS INDIVIDUS NAGENT SEULS, REGUILIÈRE STATIQUE</t>
  </si>
  <si>
    <t>QUELQUES POISSONS REGROUPÉS, NAGE STATIQUE REGULIÈRE</t>
  </si>
  <si>
    <t>SONT EN DESSOUS DU NOURRISSEUR ET OU POMPE À COURANT</t>
  </si>
  <si>
    <t>CERTAIN SONT REGROUPÉS AU NIVEAU DU NOURRISSEUR ET OU SE SITUE LA POMPE À COURANT</t>
  </si>
  <si>
    <t xml:space="preserve"> UN INDIVIDU S'EST ENFUI LORSQUE JE ME SUIS APPROCHÉE</t>
  </si>
  <si>
    <t>NAGE STATIQUE RÉGULIÈRE, RÉPARTIE DANS LE BASSIN</t>
  </si>
  <si>
    <t>NAGE STATIQUE RÉGULIÈRE</t>
  </si>
  <si>
    <t>13:39 CERTAINS NAGENT PLUS ACTIVEMENT</t>
  </si>
  <si>
    <t>CERTAIN SONT REGROUPÉS NAGE STATIQUE REGULIÈRE</t>
  </si>
  <si>
    <t>CERTAINS SONT REGROUPÉS SOUS LE DISTRIBUTEUR DE NOURRITURE, PROCHE DE LA POMPR À COURANT</t>
  </si>
  <si>
    <t>TOUS REGROUPÉS PROCHE DU DISTRIBUTEUR DE NOURRITURE</t>
  </si>
  <si>
    <t>SAUF POUR 2 OU 3 INDIVIDUS QUI SE SÉPARENT</t>
  </si>
  <si>
    <t>ALIMENTATION B-1 ÀB-5</t>
  </si>
  <si>
    <t>RÉPARTITION DANS LE BASSIN NAGE STATIQUE ET RÉGULIER</t>
  </si>
  <si>
    <t>RÉPARTITION HOMOGÈNE, NAGE STATIQUE ET REGULIÈRE</t>
  </si>
  <si>
    <t>CERTAINS INDIVIDUS SE DÉPLACENT ET NAGENT TRANQUILLEMENT, ILS ONT FAIT TOMBÉ UN MORCEAU DE LA STRUCTURE SUREMENT EN S'ALIMENTANT, MORCEAU SITUÉ AU NIVEAU DU DISTRIBUTEUR</t>
  </si>
  <si>
    <t>CERTAIN DONT DEUL OU À 2 NAGE STATIQUE RÉGULIÈRE</t>
  </si>
  <si>
    <t>REROUPÉS PROCHE DE LA POMPE À COURANT</t>
  </si>
  <si>
    <t>CERTAIN SONT SEUL DISPERSÉ DANS LE BASSIN, ONT TOUS UNE NAGE REGULIER ET STATIQUE</t>
  </si>
  <si>
    <t>RÉPARTITION HOMOGÈNE, NAGE REGULIÈRET STATIQUE</t>
  </si>
  <si>
    <t>TOUS REGROUPÉS, NAGE STATIQUE ET REGULIÈRE</t>
  </si>
  <si>
    <t>REGROUPÉS DANS 2 GROUPE SÉPARÉ</t>
  </si>
  <si>
    <t>1 OU 2 INDIVIDUS QUI SE DÉPLACENT ET SONT SEUL NAGE REGULIÈRE ET STATIQUE</t>
  </si>
  <si>
    <t>14:21 NAGENT CERTAIN CAR ONT EU PEUR DE MOI</t>
  </si>
  <si>
    <t>TOUS REGROUPÉS AU NIVEAU DE LA POMPE À COURANT, PROCHE DU DISTRIBUTEUR AUTOMATIQUE</t>
  </si>
  <si>
    <t>1 OU 2 INDIVIDUS SEULS, NAGE STATIQUE REGULIÈRE</t>
  </si>
  <si>
    <t>INDIVIDU TOUT SEUL, LES AUTRES REGROUPÉS</t>
  </si>
  <si>
    <t>ALIMENTATION B-1 À B-5</t>
  </si>
  <si>
    <t>14:34 ONT EU PEUR DE MOI</t>
  </si>
  <si>
    <t>REGROUPÉS PROCHE DU DISTRIBUTEUR AUTOMATIQUE, RESTE DE LA NOURRITURE EN SURFACE</t>
  </si>
  <si>
    <t>1 OU 2 INDIVIDUS DISPERSÉ NAGE REGULIÈRE ET STATIQUE</t>
  </si>
  <si>
    <t>14:36 ONT EU PEUR DE MOI, SE SONT AGITÉS</t>
  </si>
  <si>
    <t>REGROUPÉS SOUS LE DISTRIBUTEUR AUTOMATIQUE, PROCHE DE LA POMPE À COURANT, NAGE REGULIÈRE ET STATIQUE</t>
  </si>
  <si>
    <t>1 OU 2 INDIVIDUS DISPERSÉS, NAGENT REGULIÈRE ET STATIQUE</t>
  </si>
  <si>
    <t>14:41 AGITATION CAR ONT EU PEUR DE MOI</t>
  </si>
  <si>
    <t>REGROUPÉS SOUS DISTRIBUTEUR AUTOMATIQUE, PROCHE DE LA POMPE  À COURANT</t>
  </si>
  <si>
    <t>1 OU 2 INDIVIDUS DISPERSÉS DU GROUPE, NAGE REGULIÈRE ET STATIQUE</t>
  </si>
  <si>
    <t>REGULIER LEGERE EXCITATION</t>
  </si>
  <si>
    <t>POISSON MÊME BORD</t>
  </si>
  <si>
    <t xml:space="preserve">POISSON RÉACTIF ET EXCITÉ </t>
  </si>
  <si>
    <t>ALIMENTATION  B-1 ÀB-5</t>
  </si>
  <si>
    <t>AGITÉ CAUSE DE L'ALIMENTATION</t>
  </si>
  <si>
    <t>MANGE BIEN MONTE EN SURFACE</t>
  </si>
  <si>
    <t>MANGE BIEN</t>
  </si>
  <si>
    <t>SAUT ET ECLABOUSSE MANGE TRÈS BIEN (1 POISSON ET CHÉTIF MANGE PEU)</t>
  </si>
  <si>
    <t>CALME FACE AU COURANT, RÉACTION À MA PRÉSENCE LÉGÉ</t>
  </si>
  <si>
    <t>PLUSIEURS RÉAGISSENT FORTEMENT EXCITÉ</t>
  </si>
  <si>
    <t>CALME DANS LE FOND DU BASSIN</t>
  </si>
  <si>
    <t>MANGENT TOUS TRÈS BIEN</t>
  </si>
  <si>
    <t>BONNE RÉACTION À L'ALIMENT</t>
  </si>
  <si>
    <t>MANGENT TOUS TRÈS BIEN, BONNE RÉACTION À L'ALIMENT</t>
  </si>
  <si>
    <t>MANGENT BIEN MAIS COURANT SURFACE GÊNE UN PEUX</t>
  </si>
  <si>
    <t>CALME LÉGÉREMENT EN SURFACE</t>
  </si>
  <si>
    <t>MANGENT CALMEMENT MONTE EN SURFACE</t>
  </si>
  <si>
    <t>FRÉNÉSIE, MANGE BIEN</t>
  </si>
  <si>
    <t>MANGENT BIEN</t>
  </si>
  <si>
    <t>CALME PEUT-ÊTRE PLUS QUE EN DÉBUT DE JOURNÉE</t>
  </si>
  <si>
    <t>CALME  À RÉAGIT À MA PRÉSENCE</t>
  </si>
  <si>
    <t>MANGE DOUCEMENT MONTE EN SURFACE</t>
  </si>
  <si>
    <t>MANGE BIEN TRÈS PEUX D,ALIMENT TOMBÉ</t>
  </si>
  <si>
    <t>MANGE BIEN EXCITÉ</t>
  </si>
  <si>
    <t>REGROUPEMENT  DE 5 POISSONS</t>
  </si>
  <si>
    <t>LÉTHARGIE</t>
  </si>
  <si>
    <t>REGROUPEMENT DE 6POISSONS</t>
  </si>
  <si>
    <t>METTRE NOURRITURE DANS LE NOURRISSEUR</t>
  </si>
  <si>
    <t>NOURRISSAGE</t>
  </si>
  <si>
    <t>10:50 INDIVIDU A EU PEUR DE MOI</t>
  </si>
  <si>
    <t>10:52 REMIS CAMÉRA DANS BASSIN DÉTACHÉ</t>
  </si>
  <si>
    <t>INDIVIDU EN FUITE È MON APPROCHR</t>
  </si>
  <si>
    <t>FUITE DE 2 INDIVIDUS È MON APPROCHE</t>
  </si>
  <si>
    <t>NAGE STATIQUE REGULIER</t>
  </si>
  <si>
    <t>NAGE REGULIÈRE STATIQUE QUELQUES INDIVIDUS ISOLÉ DES AUTRES</t>
  </si>
  <si>
    <t>11:06 ONT EU PEUR DE MON APPROCHE</t>
  </si>
  <si>
    <t>REGROUPEMENT DE CERTAIN INDIVIDUS</t>
  </si>
  <si>
    <t>POISSONS REGROUPÉS, NAGE STATIQUE REGULIER</t>
  </si>
  <si>
    <t>ONT EU PEUR À MON APPROCHE 1 INDIVIDU</t>
  </si>
  <si>
    <t>POISSONS AGITÉÀ MON APPROCHE 12:25</t>
  </si>
  <si>
    <t>NAGE STATIQUE ET REGULIER POUR TOUS LES POISSONS</t>
  </si>
  <si>
    <t>CERTAIN SONT REGROUPÉS ENSEMBLE</t>
  </si>
  <si>
    <t>POISSONS TOUS REGROUPÉS NAGE STATIQUE ET REGULIER</t>
  </si>
  <si>
    <t>RÉPARTIS DANS LE BASSIN NAGE STATIQUE ET REGULIER</t>
  </si>
  <si>
    <t>REGROUPÉS ENSEMBLE NAGE STATIQUE ET REGULIER</t>
  </si>
  <si>
    <t>2 POISSONS EN FUITE À MON APPROCHE 12:31</t>
  </si>
  <si>
    <t>ALIMENTATION  DES BASSINS</t>
  </si>
  <si>
    <t>FUITE DE CERTAIN POISSON À MON APPROCHE 12:43</t>
  </si>
  <si>
    <t>REGROUPÉS NAGE STATIQUE ET REGULIER</t>
  </si>
  <si>
    <t>CERTAIN INDIVIDUS SÉPARÉS DU GROUPE NAGE STATIQUEET REGULIER</t>
  </si>
  <si>
    <t>CERTAIN REGROUPÉS SOUS LE DISTRIBUTEUR  DE NOURRITURE NAGE STATIQUE ET REGULIER</t>
  </si>
  <si>
    <t>SEPARE DU GROUPE NAGE STATIQUE ET REGULIER</t>
  </si>
  <si>
    <t>REGROUPÉS ENSEMBLE NAGE STATIQUE ET REGULIER 12:50 FUITE D'un poisson à mon approche</t>
  </si>
  <si>
    <t>REGROUPÉS ENSEMBLE NAGE STATIQUE ET REGULIER LES POISSONS FORMENT DEUX GROUPES</t>
  </si>
  <si>
    <t>REPARTIS DANS LE BASSIN NAGE REGULIÈRE ET STATIQUE</t>
  </si>
  <si>
    <t>REGROUPÉS NAGE STATIQUE ET REGULIER 14:11 POISSONS EN MOUVEMENT CAR ONT EU PEUR DE MOI</t>
  </si>
  <si>
    <t>ALIMENTATION DES POISSONS</t>
  </si>
  <si>
    <t>NAGE STATIQUE ET REGULIER</t>
  </si>
  <si>
    <t>CERTAIN POISSONS SONT REGROUPÉS NAGE STATIQUE ET REGULIER</t>
  </si>
  <si>
    <t>D'AUTRE SONT DISPERSÉS DANS LE BASSIN NAGE STATIQUE ET REGULIER</t>
  </si>
  <si>
    <t>NAGE STATIQUE ET REGULIER, RÉPARTIS DANS LE BASSIN</t>
  </si>
  <si>
    <t>14:26 1 INDIVIDU À EU PEUR DE MOI</t>
  </si>
  <si>
    <t xml:space="preserve">POISSONS NAGENT ACTIVEMENT  14:29 ET PARFOIS SE STOPPENT ET REPARTENT </t>
  </si>
  <si>
    <t>LORSQU'IL NE NAGENT PAS, ILS SONT EN GROUPE POURCERTAIN</t>
  </si>
  <si>
    <t>2 OU 3 INDIVIDUS SEPARÉS DU GROUPE NAGE STATIQUE ET REGULIER</t>
  </si>
  <si>
    <t>B2</t>
  </si>
  <si>
    <t>REGROUPEMENT DE 4 POISSONS</t>
  </si>
  <si>
    <t>B-1 B-4</t>
  </si>
  <si>
    <t>TOURNÉE BASSINS</t>
  </si>
  <si>
    <t>REGROUPEMENT 4 POISSONS</t>
  </si>
  <si>
    <t>1 INDIVIDU AGGRESSIF</t>
  </si>
  <si>
    <t xml:space="preserve">NOURRISSAGE </t>
  </si>
  <si>
    <t>REGROUPEMENT POISSONS</t>
  </si>
  <si>
    <t>REGROUPEMENT 9 POISSONS</t>
  </si>
  <si>
    <t>REGROUPEMENT 6 POISSONS</t>
  </si>
  <si>
    <t>REGROUPEMENT DE 6 INDIVIDUS</t>
  </si>
  <si>
    <t>ACTIVITÉ NORMALE</t>
  </si>
  <si>
    <t>9 INDIVIDUS REGROUPÉS</t>
  </si>
  <si>
    <t>6 POISSONS REGROUPÉS</t>
  </si>
  <si>
    <t>REGROUPÉS,NAGE STATIQUE ET RÉGULIER</t>
  </si>
  <si>
    <t>CERTAIN SONT SÉPARÉS DU GROUPE, NAGE STATIQUE ET RÉGULIER</t>
  </si>
  <si>
    <t>NAGE STATIQUE ET RÉGULIER</t>
  </si>
  <si>
    <t>1 INDIVIDU EN FUITE, PEUR DE MOI</t>
  </si>
  <si>
    <t>09:07 1 INDIVIDU TOURNE AUTOUR DU TROP PLEIN DU BASSIN DE FAÇON CONTINU</t>
  </si>
  <si>
    <t>09:09 2 INDIVIDUS ONT EU PEUR DE MOI</t>
  </si>
  <si>
    <t>NAGE STATIQUE ER REGULIER</t>
  </si>
  <si>
    <t>NOURRISSAGE DES BASSINS B-1 À B-4</t>
  </si>
  <si>
    <t>REGROUPÉS NAGE STATIQUE ET RÉGULIER</t>
  </si>
  <si>
    <t>REGROUPÉS EN 2 GROUPE DISTINCTS, NAGE STATIQUES ET RÉGULIERE</t>
  </si>
  <si>
    <t>09:20 CERTAIN SE DÉPLACE D'UN GROUPE À L'AUTRE</t>
  </si>
  <si>
    <t>NAGE STATIQUE ET REGULIERE</t>
  </si>
  <si>
    <t>09:25 1 INDIVIDU TOURNE AUTOUR DU TROP PLEIN DE FAÇON CONSTANTE</t>
  </si>
  <si>
    <t>CERTAIN INDIVIDU SONT À 2 OU SEUL DANS LE BASSIN</t>
  </si>
  <si>
    <t>UN GROUPE DE PLUSIEURS INDIVIDUS SONT REGROUPÉS PROCHE DE LA POMPE À COURANT</t>
  </si>
  <si>
    <t>09:26 DEUX INDIVIDUS NAGENT PLUS RAPIDEMENT, ONDIRAIT QU"ILS SE POURSUIVENT</t>
  </si>
  <si>
    <t>NAGE STATIQUE ER RÉGULIERE POUR CERTAIN INDIVIDU</t>
  </si>
  <si>
    <t>CERTAIN SONT REGROUPÉS ENSEMBLES</t>
  </si>
  <si>
    <t>REGROUPÉS ENSEMBLE NAGE STATIQUE ET REGULIÈRE</t>
  </si>
  <si>
    <t>2 INDIVIDUS ENSEMBLE ET SÉPARÉS DU GROUPE NAGE STATIQUE ET REGULIERE</t>
  </si>
  <si>
    <t>CERTAIN INDIVIDUS SONT REGROUPÉS ENSEMBLE PROCHE DE LA POMPE À COURANT</t>
  </si>
  <si>
    <t>REGROUPÉS, NAGE STATIQUE ET RÉGULIERE</t>
  </si>
  <si>
    <t>CERTAIN INDIVIDUS SORTENT DU GROUPE ET REVIENNENT</t>
  </si>
  <si>
    <t>REGROUPÉS ENSEMBLES, NAGE STATIQUE ET REGULIERE</t>
  </si>
  <si>
    <t>2 INDIVIDUS SÉPARÉS DU GROUPE, PLACÉS SÉPAREMEMENT À L'OPPOSÉ DU GROUPE, NAGE STATIQUE ET REGULIERE</t>
  </si>
  <si>
    <t>NAGE STATIQUE  ET REGULIERE</t>
  </si>
  <si>
    <t>MÊME INDIVIDU QUE CE MATIN QUI TOURNE AUTOUR DU TROP PLEINS CONSTAMENT</t>
  </si>
  <si>
    <t>REGROUPÉS AU NIVEAU DE LA POMPE À COURANT</t>
  </si>
  <si>
    <t>4 INDIVIDUS SÉPARÉS DU GROUPE 11:57 1 INDIVIDU NAGE PLUS ACTIVEMENT SE DÉPLACE DANS LE BASSIN</t>
  </si>
  <si>
    <t>REGROUPÉS TOUS ENSEMBLES, NAGE STATIQUE ET REGULIERE</t>
  </si>
  <si>
    <t>1 INDIVIDUS SE DÉPLACE DE TEMPS EN TEMPS 12:11</t>
  </si>
  <si>
    <t>REGROUPÉS ENSEMBLE, NAGE STATIQUE ET REGULIERE</t>
  </si>
  <si>
    <t>1 INDIVIDU SÉPARÉ DU GROUPE, NAGE STATIQUE ETREGULIERE</t>
  </si>
  <si>
    <t>1 INDIVIDU QUI SE DÉPLACE DANS LE BASSIN , NAGE REGULIERE  12:13</t>
  </si>
  <si>
    <t>NAGE REGULIERE ET STATIQUE</t>
  </si>
  <si>
    <t>12:18 LE MÊMEINDIVIDU QUI NAGE AUTOUR DU TROP PLEIN, NAGE ACTIVE</t>
  </si>
  <si>
    <t>REGROUPÉS ENSEMBLE PROCHE DE LA POMPE À COURANT, NAGE STATIQUE ET REGULIERE</t>
  </si>
  <si>
    <t>3 INDIVIDUS SÉPARÉS DU GROUPE, NAGE STATIQUE ET REGULIERE</t>
  </si>
  <si>
    <t>NOURRISSAGE AUTONATIQUE</t>
  </si>
  <si>
    <t>NAGE PLUS ACTIVE DE CERTAIN POISSON, NAGE À L'EXTÉRIEURE DU GROUPE ET REVIENNENT</t>
  </si>
  <si>
    <t>TOUS REGROUPÉS ENSEMBLE, NAGE STATIQUE  ET REGULIERE</t>
  </si>
  <si>
    <t>CERATINS INDIVIDUS NAGE EN DEHORS DU GROUPE ET REVIENNE 12:31</t>
  </si>
  <si>
    <t>CERTAINS INDIVIDUS EN DEHORS DU GROUPE NAGE STATIQUE ET REGULIER</t>
  </si>
  <si>
    <t>12:32 1 INDIVIDU SE DÉPLACE NAGE REGULIERE 12:34 MÊME INDIVIDU TOURNE AUTOUR DU TROP PLEIN MAIS MOINS ACTIVEMENT QUE PRÉCÉDEMENT</t>
  </si>
  <si>
    <t>REGROUPÉS ENSEMBLE AU NIVEAU DE LA POMPE À COURANT NAGE STATIQUE E REGULIERE</t>
  </si>
  <si>
    <t>3 INDIVIDUS SÉPARÉ DU GROUPE NAGE STATIQUE ET REGULIERE</t>
  </si>
  <si>
    <t>REGROUPÉS NAGE STATIQUE ET REGULIERE</t>
  </si>
  <si>
    <t>CERTAIN INDIVIDUS SE DEPLACENT DANS LE BASSIN NAGE REGULIERE</t>
  </si>
  <si>
    <t>REGROUPÉS ENSEMBLE NAGE REGULIERE ET STATIQUE</t>
  </si>
  <si>
    <t>1 INDIVIDU SÉPARÉ DU GROUPE, NAGE STATIQUE ET REGULIERE</t>
  </si>
  <si>
    <t>12:52 INDIVIDU TOUT SEUL CHARGE UN AUTRE POISSON, NAGEANT VERS LUI ET ENSUITE LINDIVIDU SE REPLACE AU MÊME ENDROIT TOUT SEUL</t>
  </si>
  <si>
    <t>LE MÊME INDIVIDU NAGE AUTOUR DU TROP PLEIN NAGE LENTE ET REGULIERE PARFOIS RESTE STATIQUE AVANTDE CONTINUER À TOURNER</t>
  </si>
  <si>
    <t>REGROUPÉS AU NIVEAU DE LA POMPE À COURANT NAGE STATIQUE ET REGULIERE</t>
  </si>
  <si>
    <t>3 INDIVIDUS SEPARÉS DU GROUPE ET SEPARE DES UN DES AUTRES NAGE STATIQUE ET REGULIERE</t>
  </si>
  <si>
    <t>NOURRISSAGE B-1 ÀB-4</t>
  </si>
  <si>
    <t>REGROUPÉS ENSEMBLE NAGE STATIQUE ET REGULIERE</t>
  </si>
  <si>
    <t>14:06 1 INDIVIDU NAEGE DANS LE BASSIN NAGE STATIQUE ET REGULIERE</t>
  </si>
  <si>
    <t>14:08 1 INDIVIDU NAGE DANS LE BASSIN PART ET REVIENT DANS LE GROUPE NAGE REGULIERE</t>
  </si>
  <si>
    <t>14:09 1 POISSON EN FUITE À MON APPROCHE</t>
  </si>
  <si>
    <t xml:space="preserve">14:11 MÊME INDIVIDU TOURNE AUTOUR DU TROP PLEIN EN FAISANT DES ARRÊTS, DE TEMPS EN TEMPS NAGE LENTE </t>
  </si>
  <si>
    <t>REGROUPÉS ENSEMBLE AU NIVEAU DE LA POMPE À COURANT, NAGE REGULIERE ET STATIQUE</t>
  </si>
  <si>
    <t>3 INDIVIDUS SÉPARÉS DU GROUPE NAGE STATIQUE ET REGULIERE, 3 INDIVIDUS SONT SEPARERS DES UN DES AUTRE</t>
  </si>
  <si>
    <t>REGROUPÉS ENSEMBLE, NAGE STATIQUE REGULIERE</t>
  </si>
  <si>
    <t>1 INDIVIDUS SÉPARÉ DU GROUPE, NAGE STATIQUEET REGULIERE</t>
  </si>
  <si>
    <t>09:11 INDIVIDU SEUL POURSUIT UN AUTRE  POISSONS S'APPROCHANT DE LUI, 09:12 1 INDIVIDU DU GROUPE NAGE SORT DU GROUPE ET REVIENT DANS LE GROUPE, NAGE STATIQUE ET REGULIER</t>
  </si>
  <si>
    <t>1 INDIVIDU SÉPARÉ DU GROUPE NAGE STATIQUE ET REGULIERE, 09:15 1 INDIVIDU TOURNE AUTOUR DU TROP PLEIN, NAGE REGULIERE</t>
  </si>
  <si>
    <t>09:16:00 1 INDIVIDU NAGE PLUS ACTIVEMENT DANS LE BASSIN SE DÉPLACE</t>
  </si>
  <si>
    <t>08:19 1 POISSON POURSUIT UN AUTRE POISSON</t>
  </si>
  <si>
    <t>4 INDIVIDUS SÉPARÉS DU GROUPE, NAGE STATIQUE ET REGULIERE</t>
  </si>
  <si>
    <t>NOURRISSAGE B-1 À B-4</t>
  </si>
  <si>
    <t>09:28 1 INDIVIDU NAGE DANS LE BASSIN , NAGE STATIQUE ET REGULIERE</t>
  </si>
  <si>
    <t>REGROUPÉS  ENSEMBLE</t>
  </si>
  <si>
    <t>1 INDIVIDU SÉPARÉ DU GROUPE NAGE STATIQUE ET REGULIERE</t>
  </si>
  <si>
    <t>09:32 1 INDIVIDU SÉPARÉ DU GROUPE NAGE STATIQUE ET REGULIERE</t>
  </si>
  <si>
    <t>09:32 LE MÊME INDIVIDU TOURNE AUTOUR DU TROP PLEIN NAGE REGULIERE</t>
  </si>
  <si>
    <t>09:34 1 INDIVIDU POURCHASSE D'AUTRE POISSONS</t>
  </si>
  <si>
    <t>REGROUPÉS ENSEMBLE AU NIVEAU DE LA POMPE  À COURANT, NAGE STATIQUE ET REGULIERE</t>
  </si>
  <si>
    <t>09:35 1 POISSON POURCHASSE D'AUTRE POISSON</t>
  </si>
  <si>
    <t>4 INDIVIDUS SÉPARÉS DU GROUPE NAGE STATIQUE  ET REGULIERE</t>
  </si>
  <si>
    <t>2 POISSONS SÉPARÉS DU GROUPE NAGE STATIQUE ET REGULIERE</t>
  </si>
  <si>
    <t>10:49 1 POISSON NAGE TRANQUILLEMENT DANS LE BASSIN FAIT DES TOURS NAGE REGULIERE</t>
  </si>
  <si>
    <t>10:51 1POISSON S'EST ENFUI À MON APPROCHE</t>
  </si>
  <si>
    <t>10:52 1 POISSON S'EST AGITÉ ET REVENU DANS LE GROUPE</t>
  </si>
  <si>
    <t>MÊME POISSON QUI TOURNE AUTOUR DU TROP PLEIN, NAGE REGULIERE</t>
  </si>
  <si>
    <t>REGROUPÉS ENSEMBLE NAGE STATIQUE ET REGULIERE, NAGE AU NIVEAU DE LA POMPE À COURANT</t>
  </si>
  <si>
    <t>10:56 1 POISSON EN FUITE S'EST DÉPLACÉ RAPIDEMENT D'UN COUP</t>
  </si>
  <si>
    <t>4 POISSONS SÉPARÉS DU GROUPE</t>
  </si>
  <si>
    <t>1 POISSON LÉTHARGIQUE NAGE SUR LE CÔTÉ</t>
  </si>
  <si>
    <t>1 POISSON SÉPARÉ DU GROUPE  NAGE STATIQUE ET REGULIERE</t>
  </si>
  <si>
    <t>11:07:00 1 POISSON  NAGE FAIT LE TOUR DU BASSIN  MÊME POISSON QUE PRÉCÉDEMENT NAGE REGULIERE</t>
  </si>
  <si>
    <t>REGROUPÉS ENSEMBLE, NAGE REGULIERE ET STATIQUE</t>
  </si>
  <si>
    <t>2 POISSONS SEPARÉS DU GROUPE NAGE STATIQUE ET REGULIERE</t>
  </si>
  <si>
    <t>11:11 1 POISSON NAGE DANS LE BASSIN NAGE REGULIERE</t>
  </si>
  <si>
    <t>2 INDIVIDUS SEÉPARÉS DU GROUPE, NAGE STATIQUE ET REGULIERE</t>
  </si>
  <si>
    <t>1 POISSON LE MÊME NAGE AUTOUR DU TROP PLEIN NAGE REGULIERE</t>
  </si>
  <si>
    <t>REGROUPÉS ENSEMBLE NAGE STATIQUE ET REGULIERE SONT AU NIVEAU DE LA POMPE À COURANT</t>
  </si>
  <si>
    <t>1 POISSON LÉTHARGIQUE NAGE STATIQUE SUR LE CÔTÉ</t>
  </si>
  <si>
    <t>12:18 POISSONS SONT ACTIFS NAGE RAPIDE À LENTE DANS LE BASSIN</t>
  </si>
  <si>
    <t>NAGE REGULIERE ET STATIQUE REPARTIS DANS LE BASSIN</t>
  </si>
  <si>
    <t>12:20 1 POISSON A EU PEUR DE MOI  EN FUITE</t>
  </si>
  <si>
    <t>3  POISSONS SÉPARÉS DU GROUPE ET SÉPARÉ DES UN DES AUTRES NAGE STAIQUE ET REGULIERE</t>
  </si>
  <si>
    <t>1 POISSON  NAGE DANS LE BASSIN, SORT ET REVIENT VERS LE GROUPE NAGE REGULIERE</t>
  </si>
  <si>
    <t>NAGE STATIQUE ET REGULIERE, SONT RÉPARTIS DANS LE BASSIN</t>
  </si>
  <si>
    <t>REGROUPÉS ENSEMBLE AU NIVEAU DE LA POMPE À COURANT, NAGE STATIQUE ET REGULIERE</t>
  </si>
  <si>
    <t>3 POISSONS SÉPARÉS DU GROUPE, RÉPARTIS DANS LEBASSIN SÉPAREMENT DES UNS DES AUTRES, NAGE STATIQUE ET REGULIERE</t>
  </si>
  <si>
    <t>1 POISSON LE MÊME EST LÉTHARGIQUE NAGE STATIQUE SUR LE CÔTÉ</t>
  </si>
  <si>
    <t>NOURRISSAGE DES BASSINS B-1 À B-5</t>
  </si>
  <si>
    <t>POISSONS NAGENT ACTIVEMENT  SE POURSUIVENT  12:36</t>
  </si>
  <si>
    <t>1 POISSON LE MÊME NAGE DANS LE BASSIN SORT ET REVIENS DANS LE GROUPE</t>
  </si>
  <si>
    <t>NAGE REGULIERE ET STATIQUE RÉPARTIS DANS LE BASSIN 12:41 NAGE AUTOUR DU TROP PLEIN NAGE STATIQUE ET REGULIERE</t>
  </si>
  <si>
    <t>12:42 1 POISSON NAGE PLUS REPIDEMENT ET SE CALME</t>
  </si>
  <si>
    <t>2 POISSONS SÉPARÉS NAGE STATIQUE ET REGULIERE</t>
  </si>
  <si>
    <t>POISSON LÉTHARGIQUE NAGE STATIQUE  SUR LE CÔTÉ 12:46</t>
  </si>
  <si>
    <t>13:59 1 POISSON LE MÊME QUE PRÈCÈDEMENT NAGE DANS LE BASSIN NAGE REGULIERE</t>
  </si>
  <si>
    <t>REGROUPÉ ENSEMBLE NAGE STATIQUE ET REGULIER</t>
  </si>
  <si>
    <t>2 POISSONS SÉPARÉS DU GROUPE NAGE STATIQUE ET REGULIERE SONT SÉPARÉS DES UN DES AUTRE DANS LE GROUPE NAGE REGULIERE</t>
  </si>
  <si>
    <t xml:space="preserve">1 POISSON  LE MÊME NAGE AUTOUR DU TROP PLEIN, NAGE UN PEU PLUS ACTIVE QUE PRÉCEDEMENT </t>
  </si>
  <si>
    <t>REGROUPÉS ENSEMBLE PROCHE DE LA POMPE À COURANT NAGE STATIQUE ET REGULIERE</t>
  </si>
  <si>
    <t>1 POISSON LE MÊME LÉTHARGIQUE NAGE STATIQUE ET SUR LE CÔTÉ</t>
  </si>
  <si>
    <t>14:15 CERTAINS POISSONS SE DÉPLACENT ACTIVEMENT DANS LE BASSIN</t>
  </si>
  <si>
    <t>14:15 REMOUE EN SURFACE</t>
  </si>
  <si>
    <t>14:16 1 POISSON NAGE DANS LE BASSIN  MÊME POISSON QUE PRÈCÈDEMENT NAGE REGULIERE</t>
  </si>
  <si>
    <t>REGROUPÉS ENSEMBLES NAGE STATIQUE ET REGULIERE</t>
  </si>
  <si>
    <t>2 POISSONS SÉPARÉS DU GROUPE REPARTIS INDIVIDUELLEMENT DANS LE BASSIN NAGE STATIQUE ET REGULIERE</t>
  </si>
  <si>
    <t>14:20 POURSUITE ENTRE 2 POISSONS</t>
  </si>
  <si>
    <t>1 POISSON NAGE DANS LE BASSIN  SORT ET REVIENS DANS LE GROUPE NAGE REGULIERE</t>
  </si>
  <si>
    <t xml:space="preserve">B-3 </t>
  </si>
  <si>
    <t>14:22 NAGE ACCÉLÉRÉE D'UN POISSON</t>
  </si>
  <si>
    <t>1 POISSON  LE MÊME TOURNE AUTOUR  DU TROP PLEIN NAGE REGULIERE</t>
  </si>
  <si>
    <t>REGROUPÉS ENSEMBLE AU NIVEAU DE LA POMPE À COURANT NAGE STATIQUE ET REGULIERE</t>
  </si>
  <si>
    <t>1 POISSON SÉPARÉ DU GROUPE NAGE STATIQUE ET REGULIERE</t>
  </si>
  <si>
    <t>1 POISSON LE MÊME LÉTHARGIQUE NAGE STATIQUE SUR LE CÔTÉ</t>
  </si>
  <si>
    <t>REGROUPÉS ENSEMBLE AU MÊME ENDROIT  NAGE STATIQUE ER REGULIERE</t>
  </si>
  <si>
    <t>1 POISSON SÉPARÉ  DU GROUPE NAGE STATIQUE ET REGULIERE</t>
  </si>
  <si>
    <t>3 POISSONS ENSEMBLES DE L'AUTRE CÔTÉ DU BASSIN NAGE REGULIERE MAIS SE DÉPLACE LÉGÈREMENT</t>
  </si>
  <si>
    <t>1 POISSON LÉTHARGIQUE</t>
  </si>
  <si>
    <t>REGROUPÉS ENSEMBLE AU MÊME ENDROIT NAGE STATIQUE ET REGULIERE</t>
  </si>
  <si>
    <t>09:11 1 POISSON S'EST DÉPLACÉ RAPIDEMENT</t>
  </si>
  <si>
    <t>3 POISSONS SÉPARÉS DU GROUPE SÉPARÉS LES UNS DES AUTRES NAGE STATIQUE ET REGULIERE</t>
  </si>
  <si>
    <t>09:13 CERTAIN POISSONS NAGE DANS LE BASSIN NAGE REGULIERE</t>
  </si>
  <si>
    <t>09:16:00 1 POISSON NAGE DANS LE BASSIN ET REVIENS  VERS UN PETIT GROUPE DE POISSON</t>
  </si>
  <si>
    <t>POISSON SONT REPARTIS DANS LE BASSIN EN DIFFERENT PETIT GROUPE NAGE STATIQUE ET REGULIERE</t>
  </si>
  <si>
    <t>09:18 2 POISSONS EN FUITE À MON APPROCHE</t>
  </si>
  <si>
    <t>2 POISSONS SÉPARÉS DU GROUPE ET RÉPARTIS INDIVIDUELLEMENYT DANS LE BASSIN NAGE STATIQUE ET REGULIERE</t>
  </si>
  <si>
    <t>10:33 1 POISSON DANS LE BASSIN NAGE REGULIERE</t>
  </si>
  <si>
    <t>1 POISSON SEÉPARÉ DU GROUPE NAGE STATIQUE ET REGULIERE</t>
  </si>
  <si>
    <t>10:35 1 POISSON AGITÉ EN SURFACE ET S'EST REPLACÉ</t>
  </si>
  <si>
    <t>10:37 CERTAIN POISSON SE DÉPLACE DANS LE BASSIN NAGE REGULIERE</t>
  </si>
  <si>
    <t>2 POISSONS SÉPARÉS DU GROUPE SÉPARÉ L'UN DE L'AUTRE NAGE STATIQUE ET REGULIERE</t>
  </si>
  <si>
    <t>NOURRISSAGE B-1 À B-5</t>
  </si>
  <si>
    <t>10:50 1 POISSON EN FUITE  A EU PEUR DE MOI</t>
  </si>
  <si>
    <t>3 POISSONS SE,PARES DU GROUPE ET SEPARE LES UNS DES AUTRES, NAGE STATIQUE ET REGULIERE</t>
  </si>
  <si>
    <t>2 POISSONS SÉPARÉS DU GROUPE  SÉPARÉ L'UNS DE L'AUTRE NAGE STATIQUE ET REGULIERE</t>
  </si>
  <si>
    <t>1 POISSON LÉTHARGIQUE STATIQUE SUR LE CÔTÉ</t>
  </si>
  <si>
    <t xml:space="preserve">10:56 1 POISSON S'EST SÉPARÉ DU GROUPE ET Y REVIENS NAGE REGULIERE </t>
  </si>
  <si>
    <t>12:04 1 POISSON SE DÉPLACE ET REVIENS DANS LE GROUPE NAGE REGULIERE</t>
  </si>
  <si>
    <t>12:05 1 POISSON S'ENFUIT CAR PEUR DE MOI ET REVIENS À SA PLACE</t>
  </si>
  <si>
    <t>12:06 CERTAIN POISSON SE DÉPLACE DANS LE BASSIN ET REVIENNENT À LEUR PLACE</t>
  </si>
  <si>
    <t>SONT RÉPARTIS DANS LE BASSIN, NAGE STATIQUE ET REGULIERE</t>
  </si>
  <si>
    <t>2 POISSONS SÉPARÉS DU GROUPE PLACÉS INDIVIDUELLEMENT  DANS LE BASSIN NAGE STATIQUE ET REGULIERE</t>
  </si>
  <si>
    <t>12:19 1 POISSON EN FUITE  A EU PEUR DE MOI MAIS EST REVENU À SA PLACE APRÈS</t>
  </si>
  <si>
    <t>12:20 1 POISSON SE SÉPARE DU GROUPE ET Y REVIENS</t>
  </si>
  <si>
    <t>12:22 1 POISSON NAGE DANS LE BASSIN  NAGE REGULIERE</t>
  </si>
  <si>
    <t>12:22 POISSON EN FUITE ONT EU PEUR DE MOI</t>
  </si>
  <si>
    <t>2 OU 3 POISSON SÉPARÉS DU GROUPE NAGE STATIQUE ET REGULIERE</t>
  </si>
  <si>
    <t>12:24 2 POISSONS SE DÉPLACENT PLUS ACTIVEMENT ET SE REPLACENT OU ILS ETAIENT</t>
  </si>
  <si>
    <t>12:26 2 POISSONS  NAGE PLUS ACTIVEMENT ET REVIENNENT DANS LE GROUPE</t>
  </si>
  <si>
    <t>12:27 1 POISSON EN FUITE A EU PEUR DE MOI À MON APPROCHE</t>
  </si>
  <si>
    <t>12:29 1 POISSON NAGE PLUS ACTIVEMENT DANS LE BASSIN ET RETOURNÉ À L'ENDROIT OU IL ÉTAIT</t>
  </si>
  <si>
    <t>REGROUPÉS ENSEMBLE AU NIVEAU DE LA POMPE  ÀCOURANT NAGE STATIQUE ET REGULIERE</t>
  </si>
  <si>
    <t>2 POISSONS SÉPARÉS DU GROUPE SÉPARÉS L'UN DE L'AUTRE NAGE STATIQUE E TREGULIERE</t>
  </si>
  <si>
    <t>12:42 POISSONS ONT EU PEUR DE MOI  FUITE ET SE SONT REPLAÉS</t>
  </si>
  <si>
    <t>2 POISSONS  SÉPARÉS DU GROUPE SÉPARÉS DE L'UN DE L'AUTRE NAGE STATIQUE ET REGULIERE</t>
  </si>
  <si>
    <t>3 POISSONS SÉPARÉS DU GROUPE, NAGE STATIQUE ET REGULIERE</t>
  </si>
  <si>
    <t>12:48 1 POISSON NAGE DANS LE BASSIN, NAGE REGULIERE PUIS ET  RETOURNÉ  AU GROUPE</t>
  </si>
  <si>
    <t>13:49 PLUSIEURS POISSONS NAGENT DANS LE BASSIN NAGE REGULIERE</t>
  </si>
  <si>
    <t>REGROUPÉS ENSEMBLE AU NIVEAU DE LA POMPE À COURANT  NAGE STATIQUE ET REGULIERE</t>
  </si>
  <si>
    <t>POISSON LÉTHARGIQUE</t>
  </si>
  <si>
    <t>13:58 2 POISSONS SE TOURNENT AUTOUR</t>
  </si>
  <si>
    <t>REGROUPÉS ENSEMBLE  NAGE STATIQUE ET REGULIERE</t>
  </si>
  <si>
    <t>REPARTIS DANS LE BASSIN SONT SEUL OU EN GROUPE</t>
  </si>
  <si>
    <t>14:01 POISSON S DIRIGE VERS L'AUTRE, L'AUTRE S'EN VA</t>
  </si>
  <si>
    <t>14:02 1 POISSON NAGE DANS  LE BASSIN ACTIVEMENT</t>
  </si>
  <si>
    <t>14:03 CERTAIN POISSON SE DÉPLACE DANS LE BASSIN ET REDEVIENNENT STATIQUE  POUR SE  DÉPLACE DE NOUVEAU</t>
  </si>
  <si>
    <t>3 POISSONS SÉPARÉS DU GROUPE  SÉPARÉ LES UNS DES AUTRES NAGE STATIQUE ET REGULIERE</t>
  </si>
  <si>
    <t>14:06 2 POISSONS NAGENT PLUS ACTIVEMENT ET SE SEPARENT</t>
  </si>
  <si>
    <t>14:08 CERTAIN POISSON SE DÉPLACE ET REVIENT DANS  LE GROUPE NAGE ACTIVE</t>
  </si>
  <si>
    <t>POISSONS CALLER MAIS PRÊT À ALIMENTATION</t>
  </si>
  <si>
    <t>NORMAL EN GROUPE DANS LE FOND</t>
  </si>
  <si>
    <t>2 POISSONS SEULEMENT SE SONT ALIMENTÉ</t>
  </si>
  <si>
    <t>POISSONS EXCITÉ ILS CHERCHENT LA NOURRITURE DANS LE BAS DU BASSIN</t>
  </si>
  <si>
    <t>POISSON EXCITÉ SE BATTENT ENTRE EUX POUR LA NOURRITURE</t>
  </si>
  <si>
    <t>POISSONS EXCITÉ BONNE ALIMENTATION</t>
  </si>
  <si>
    <t>COMPRTEMENT NORMAL</t>
  </si>
  <si>
    <t xml:space="preserve">REGROUPEMENT </t>
  </si>
  <si>
    <t xml:space="preserve">NORMAL </t>
  </si>
  <si>
    <t>SENSIBLE MOUVEMENT</t>
  </si>
  <si>
    <t>ALIMENTATION MAIS DOUCEMENT</t>
  </si>
  <si>
    <t>AGITATION TOMBÉ DE LA MOULLÉ</t>
  </si>
  <si>
    <t>AGITATION ET ALIMENTATION DE TOUT LE BASSIN</t>
  </si>
  <si>
    <t>AGITATION ET CHOC PAROIS DU BASSIN MANGE BIEN</t>
  </si>
  <si>
    <t>NORMAL REGROUPÉ</t>
  </si>
  <si>
    <t>CLAME MAIS MANGE BIEN</t>
  </si>
  <si>
    <t>EXCITÉ MANGE TOUT</t>
  </si>
  <si>
    <t>MANGE TRÈS BIEN  EXCITÉ</t>
  </si>
  <si>
    <t>MANGE TRÈS BIEN EXCITÉ</t>
  </si>
  <si>
    <t>NORMAL COLLÉ ENTRE EUX</t>
  </si>
  <si>
    <t xml:space="preserve">B-4 </t>
  </si>
  <si>
    <t xml:space="preserve">MANGE BIEN PAS DE MOUVEMENT </t>
  </si>
  <si>
    <t>POISSONS AU FOND DU BASSIN CALME</t>
  </si>
  <si>
    <t>MANGE BIEN PEU DE NOURRITURE EST TOMBÉ</t>
  </si>
  <si>
    <t xml:space="preserve">EXCITÉ MANGE TRÈS BIEN </t>
  </si>
  <si>
    <t>MANGE TRÈS BIEN EXCITÉ PEU DE NOURRITURE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</si>
</sst>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3" tint="0.59999389629810485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2" borderId="1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center"/>
    </xf>
    <xf numFmtId="0" fontId="0" fillId="0" borderId="0" xfId="0" applyAlignment="1">
      <alignment horizontal="center"/>
    </xf>
    <xf numFmtId="14" fontId="0" fillId="0" borderId="1" xfId="0" applyNumberFormat="1" applyBorder="1" applyAlignment="1">
      <alignment horizontal="center"/>
    </xf>
    <xf numFmtId="20" fontId="0" fillId="0" borderId="1" xfId="0" applyNumberFormat="1" applyBorder="1" applyAlignment="1">
      <alignment horizontal="center"/>
    </xf>
    <xf numFmtId="0" fontId="0" fillId="0" borderId="1" xfId="0" applyBorder="1"/>
    <xf numFmtId="0" fontId="0" fillId="0" borderId="1" xfId="0" applyBorder="1" applyAlignment="1">
      <alignment horizontal="center"/>
    </xf>
    <xf numFmtId="0" fontId="1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vertical="center" wrapText="1"/>
    </xf>
    <xf numFmtId="20" fontId="0" fillId="0" borderId="1" xfId="0" applyNumberFormat="1" applyBorder="1"/>
    <xf numFmtId="0" fontId="0" fillId="0" borderId="0" xfId="0" applyBorder="1"/>
    <xf numFmtId="0" fontId="0" fillId="0" borderId="0" xfId="0" applyBorder="1" applyAlignment="1">
      <alignment horizontal="center"/>
    </xf>
    <xf numFmtId="14" fontId="0" fillId="0" borderId="1" xfId="0" applyNumberFormat="1" applyBorder="1"/>
    <xf numFmtId="14" fontId="1" fillId="2" borderId="1" xfId="0" applyNumberFormat="1" applyFont="1" applyFill="1" applyBorder="1" applyAlignment="1">
      <alignment horizontal="center"/>
    </xf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F93A9F-57FE-44F9-9746-47834156DE9F}">
  <dimension ref="A1:M726"/>
  <sheetViews>
    <sheetView tabSelected="1" zoomScale="150" zoomScaleNormal="150" workbookViewId="0">
      <selection activeCell="D8" sqref="D8"/>
    </sheetView>
  </sheetViews>
  <sheetFormatPr baseColWidth="10" defaultColWidth="9.1796875" defaultRowHeight="14.5" x14ac:dyDescent="0.35"/>
  <cols>
    <col min="1" max="1" width="11.08984375" style="15" bestFit="1" customWidth="1"/>
    <col min="2" max="2" width="11.81640625" bestFit="1" customWidth="1"/>
    <col min="3" max="3" width="11.81640625" customWidth="1"/>
    <col min="4" max="5" width="7.81640625" customWidth="1"/>
    <col min="6" max="6" width="10.26953125" style="3" customWidth="1"/>
    <col min="7" max="7" width="22.54296875" style="3" customWidth="1"/>
    <col min="8" max="8" width="40.453125" style="3" customWidth="1"/>
    <col min="9" max="9" width="123.54296875" bestFit="1" customWidth="1"/>
    <col min="11" max="11" width="10" customWidth="1"/>
    <col min="12" max="12" width="22.7265625" customWidth="1"/>
    <col min="13" max="13" width="40.453125" customWidth="1"/>
  </cols>
  <sheetData>
    <row r="1" spans="1:13" x14ac:dyDescent="0.35">
      <c r="A1" s="14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13" x14ac:dyDescent="0.35">
      <c r="A2" s="4">
        <v>46135</v>
      </c>
      <c r="B2" s="10">
        <v>0.4375</v>
      </c>
      <c r="C2" s="10">
        <v>0.44444444444444442</v>
      </c>
      <c r="D2" s="5">
        <f>C2-B2</f>
        <v>6.9444444444444198E-3</v>
      </c>
      <c r="E2" s="6" t="s">
        <v>27</v>
      </c>
      <c r="F2" s="7" t="s">
        <v>9</v>
      </c>
      <c r="G2" s="7" t="str">
        <f>IF(F2="P1","Normal activity",IF(F2="P2","Clustering / aggregation",IF(F2="P3","Agitation",IF(F2="P4","Lethargy",IF(F2="P5","Jumping / splashing",IF(F2="P6","Reactivity to noise"))))))</f>
        <v>Normal activity</v>
      </c>
      <c r="H2" s="7" t="str">
        <f>IF(F2="P1","Regular swimming, even distribution",IF(F2="P2","Fish grouped in one corner",IF(F2="P3","Rapid swimming, escape behavior",IF(F2="P4","Little movement",IF(F2="P5","Jumping out of the water",IF(F2="P6","Reaction to a tool or impact"))))))</f>
        <v>Regular swimming, even distribution</v>
      </c>
      <c r="I2" s="6"/>
      <c r="K2" s="8" t="s">
        <v>5</v>
      </c>
      <c r="L2" s="8" t="s">
        <v>6</v>
      </c>
      <c r="M2" s="8" t="s">
        <v>7</v>
      </c>
    </row>
    <row r="3" spans="1:13" x14ac:dyDescent="0.35">
      <c r="A3" s="4">
        <v>46135</v>
      </c>
      <c r="B3" s="10">
        <v>0.4375</v>
      </c>
      <c r="C3" s="10">
        <v>0.44444444444444442</v>
      </c>
      <c r="D3" s="5">
        <f>C3-B3</f>
        <v>6.9444444444444198E-3</v>
      </c>
      <c r="E3" s="6" t="s">
        <v>28</v>
      </c>
      <c r="F3" s="7" t="s">
        <v>9</v>
      </c>
      <c r="G3" s="7" t="str">
        <f>IF(F3="P1","Normal activity",IF(F3="P2","Clustering / aggregation",IF(F3="P3","Agitation",IF(F3="P4","Lethargy",IF(F3="P5","Jumping / splashing",IF(F3="P6","Reactivity to noise"))))))</f>
        <v>Normal activity</v>
      </c>
      <c r="H3" s="7" t="str">
        <f>IF(F3="P1","Regular swimming, even distribution",IF(F3="P2","Fish grouped in one corner",IF(F3="P3","Rapid swimming, escape behavior",IF(F3="P4","Little movement",IF(F3="P5","Jumping out of the water",IF(F3="P6","Reaction to a tool or impact"))))))</f>
        <v>Regular swimming, even distribution</v>
      </c>
      <c r="I3" s="6"/>
      <c r="K3" s="9" t="s">
        <v>9</v>
      </c>
      <c r="L3" s="9" t="s">
        <v>10</v>
      </c>
      <c r="M3" s="9" t="s">
        <v>11</v>
      </c>
    </row>
    <row r="4" spans="1:13" x14ac:dyDescent="0.35">
      <c r="A4" s="4">
        <v>46135</v>
      </c>
      <c r="B4" s="10">
        <v>0.4375</v>
      </c>
      <c r="C4" s="10">
        <v>0.44444444444444398</v>
      </c>
      <c r="D4" s="5">
        <f>C4-B4</f>
        <v>6.9444444444439757E-3</v>
      </c>
      <c r="E4" s="6" t="s">
        <v>28</v>
      </c>
      <c r="F4" s="7" t="s">
        <v>24</v>
      </c>
      <c r="G4" s="7" t="str">
        <f>IF(F4="P1","Normal activity",IF(F4="P2","Clustering / aggregation",IF(F4="P3","Agitation",IF(F4="P4","Lethargy",IF(F4="P5","Jumping / splashing",IF(F4="P6","Reactivity to noise"))))))</f>
        <v>Reactivity to noise</v>
      </c>
      <c r="H4" s="7" t="str">
        <f>IF(F4="P1","Regular swimming, even distribution",IF(F4="P2","Fish grouped in one corner",IF(F4="P3","Rapid swimming, escape behavior",IF(F4="P4","Little movement",IF(F4="P5","Jumping out of the water",IF(F4="P6","Reaction to a tool or impact"))))))</f>
        <v>Reaction to a tool or impact</v>
      </c>
      <c r="I4" s="6"/>
      <c r="K4" s="9" t="s">
        <v>12</v>
      </c>
      <c r="L4" s="9" t="s">
        <v>13</v>
      </c>
      <c r="M4" s="9" t="s">
        <v>14</v>
      </c>
    </row>
    <row r="5" spans="1:13" x14ac:dyDescent="0.35">
      <c r="A5" s="4">
        <v>46135</v>
      </c>
      <c r="B5" s="10">
        <v>0.4375</v>
      </c>
      <c r="C5" s="10">
        <v>0.44444444444444398</v>
      </c>
      <c r="D5" s="5">
        <f>C5-B5</f>
        <v>6.9444444444439757E-3</v>
      </c>
      <c r="E5" s="6" t="s">
        <v>29</v>
      </c>
      <c r="F5" s="7" t="s">
        <v>9</v>
      </c>
      <c r="G5" s="7" t="str">
        <f>IF(F5="P1","Normal activity",IF(F5="P2","Clustering / aggregation",IF(F5="P3","Agitation",IF(F5="P4","Lethargy",IF(F5="P5","Jumping / splashing",IF(F5="P6","Reactivity to noise"))))))</f>
        <v>Normal activity</v>
      </c>
      <c r="H5" s="7" t="str">
        <f>IF(F5="P1","Regular swimming, even distribution",IF(F5="P2","Fish grouped in one corner",IF(F5="P3","Rapid swimming, escape behavior",IF(F5="P4","Little movement",IF(F5="P5","Jumping out of the water",IF(F5="P6","Reaction to a tool or impact"))))))</f>
        <v>Regular swimming, even distribution</v>
      </c>
      <c r="I5" s="6" t="s">
        <v>30</v>
      </c>
      <c r="K5" s="9" t="s">
        <v>15</v>
      </c>
      <c r="L5" s="9" t="s">
        <v>16</v>
      </c>
      <c r="M5" s="9" t="s">
        <v>17</v>
      </c>
    </row>
    <row r="6" spans="1:13" x14ac:dyDescent="0.35">
      <c r="A6" s="4">
        <v>46135</v>
      </c>
      <c r="B6" s="10">
        <v>0.4375</v>
      </c>
      <c r="C6" s="10">
        <v>0.44444444444444398</v>
      </c>
      <c r="D6" s="5">
        <f>C6-B6</f>
        <v>6.9444444444439757E-3</v>
      </c>
      <c r="E6" s="6" t="s">
        <v>31</v>
      </c>
      <c r="F6" s="7" t="s">
        <v>9</v>
      </c>
      <c r="G6" s="7" t="str">
        <f>IF(F6="P1","Normal activity",IF(F6="P2","Clustering / aggregation",IF(F6="P3","Agitation",IF(F6="P4","Lethargy",IF(F6="P5","Jumping / splashing",IF(F6="P6","Reactivity to noise"))))))</f>
        <v>Normal activity</v>
      </c>
      <c r="H6" s="7" t="str">
        <f>IF(F6="P1","Regular swimming, even distribution",IF(F6="P2","Fish grouped in one corner",IF(F6="P3","Rapid swimming, escape behavior",IF(F6="P4","Little movement",IF(F6="P5","Jumping out of the water",IF(F6="P6","Reaction to a tool or impact"))))))</f>
        <v>Regular swimming, even distribution</v>
      </c>
      <c r="I6" s="6" t="s">
        <v>32</v>
      </c>
      <c r="K6" s="9" t="s">
        <v>18</v>
      </c>
      <c r="L6" s="9" t="s">
        <v>19</v>
      </c>
      <c r="M6" s="9" t="s">
        <v>20</v>
      </c>
    </row>
    <row r="7" spans="1:13" x14ac:dyDescent="0.35">
      <c r="A7" s="4">
        <v>46135</v>
      </c>
      <c r="B7" s="10">
        <v>0.4375</v>
      </c>
      <c r="C7" s="10">
        <v>0.44444444444444398</v>
      </c>
      <c r="D7" s="5">
        <f>C7-B7</f>
        <v>6.9444444444439757E-3</v>
      </c>
      <c r="E7" s="6" t="s">
        <v>31</v>
      </c>
      <c r="F7" s="7" t="s">
        <v>24</v>
      </c>
      <c r="G7" s="7" t="str">
        <f>IF(F7="P1","Normal activity",IF(F7="P2","Clustering / aggregation",IF(F7="P3","Agitation",IF(F7="P4","Lethargy",IF(F7="P5","Jumping / splashing",IF(F7="P6","Reactivity to noise"))))))</f>
        <v>Reactivity to noise</v>
      </c>
      <c r="H7" s="7" t="str">
        <f>IF(F7="P1","Regular swimming, even distribution",IF(F7="P2","Fish grouped in one corner",IF(F7="P3","Rapid swimming, escape behavior",IF(F7="P4","Little movement",IF(F7="P5","Jumping out of the water",IF(F7="P6","Reaction to a tool or impact"))))))</f>
        <v>Reaction to a tool or impact</v>
      </c>
      <c r="I7" s="6"/>
      <c r="K7" s="9" t="s">
        <v>21</v>
      </c>
      <c r="L7" s="9" t="s">
        <v>22</v>
      </c>
      <c r="M7" s="9" t="s">
        <v>23</v>
      </c>
    </row>
    <row r="8" spans="1:13" x14ac:dyDescent="0.35">
      <c r="A8" s="4">
        <v>46135</v>
      </c>
      <c r="B8" s="6"/>
      <c r="C8" s="6"/>
      <c r="D8" s="5">
        <f>C8-B8</f>
        <v>0</v>
      </c>
      <c r="E8" s="6"/>
      <c r="F8" s="7"/>
      <c r="G8" s="7"/>
      <c r="H8" s="7"/>
      <c r="I8" s="6" t="s">
        <v>33</v>
      </c>
      <c r="K8" s="9" t="s">
        <v>24</v>
      </c>
      <c r="L8" s="9" t="s">
        <v>25</v>
      </c>
      <c r="M8" s="9" t="s">
        <v>26</v>
      </c>
    </row>
    <row r="9" spans="1:13" x14ac:dyDescent="0.35">
      <c r="A9" s="4">
        <v>46135</v>
      </c>
      <c r="B9" s="10">
        <v>0.44791666666666669</v>
      </c>
      <c r="C9" s="10">
        <v>0.4548611111111111</v>
      </c>
      <c r="D9" s="5">
        <f>C9-B9</f>
        <v>6.9444444444444198E-3</v>
      </c>
      <c r="E9" s="6" t="s">
        <v>27</v>
      </c>
      <c r="F9" s="7" t="s">
        <v>21</v>
      </c>
      <c r="G9" s="7"/>
      <c r="H9" s="7"/>
      <c r="I9" s="6" t="s">
        <v>34</v>
      </c>
    </row>
    <row r="10" spans="1:13" x14ac:dyDescent="0.35">
      <c r="A10" s="4">
        <v>46135</v>
      </c>
      <c r="B10" s="10">
        <v>0.44791666666666669</v>
      </c>
      <c r="C10" s="10">
        <v>0.4548611111111111</v>
      </c>
      <c r="D10" s="5">
        <f>C10-B10</f>
        <v>6.9444444444444198E-3</v>
      </c>
      <c r="E10" s="6" t="s">
        <v>27</v>
      </c>
      <c r="F10" s="7" t="s">
        <v>15</v>
      </c>
      <c r="G10" s="7"/>
      <c r="H10" s="7"/>
      <c r="I10" s="6"/>
    </row>
    <row r="11" spans="1:13" x14ac:dyDescent="0.35">
      <c r="A11" s="4">
        <v>46135</v>
      </c>
      <c r="B11" s="10">
        <v>0.44791666666666669</v>
      </c>
      <c r="C11" s="10">
        <v>0.4548611111111111</v>
      </c>
      <c r="D11" s="5">
        <f>C11-B11</f>
        <v>6.9444444444444198E-3</v>
      </c>
      <c r="E11" s="6" t="s">
        <v>28</v>
      </c>
      <c r="F11" s="7" t="s">
        <v>21</v>
      </c>
      <c r="G11" s="7"/>
      <c r="H11" s="7"/>
      <c r="I11" s="6" t="s">
        <v>35</v>
      </c>
    </row>
    <row r="12" spans="1:13" x14ac:dyDescent="0.35">
      <c r="A12" s="4">
        <v>46135</v>
      </c>
      <c r="B12" s="10">
        <v>0.44791666666666702</v>
      </c>
      <c r="C12" s="10">
        <v>0.45486111111111099</v>
      </c>
      <c r="D12" s="5">
        <f>C12-B12</f>
        <v>6.9444444444439757E-3</v>
      </c>
      <c r="E12" s="6" t="s">
        <v>28</v>
      </c>
      <c r="F12" s="7" t="s">
        <v>15</v>
      </c>
      <c r="G12" s="7"/>
      <c r="H12" s="7"/>
      <c r="I12" s="6"/>
    </row>
    <row r="13" spans="1:13" x14ac:dyDescent="0.35">
      <c r="A13" s="4">
        <v>46135</v>
      </c>
      <c r="B13" s="10">
        <v>0.44791666666666702</v>
      </c>
      <c r="C13" s="10">
        <v>0.45486111111111099</v>
      </c>
      <c r="D13" s="5">
        <f>C13-B13</f>
        <v>6.9444444444439757E-3</v>
      </c>
      <c r="E13" s="6" t="s">
        <v>29</v>
      </c>
      <c r="F13" s="7" t="s">
        <v>9</v>
      </c>
      <c r="G13" s="7"/>
      <c r="H13" s="7"/>
      <c r="I13" s="6" t="s">
        <v>36</v>
      </c>
    </row>
    <row r="14" spans="1:13" x14ac:dyDescent="0.35">
      <c r="A14" s="4">
        <v>46135</v>
      </c>
      <c r="B14" s="10">
        <v>0.44791666666666702</v>
      </c>
      <c r="C14" s="10">
        <v>0.45486111111111099</v>
      </c>
      <c r="D14" s="5">
        <f>C14-B14</f>
        <v>6.9444444444439757E-3</v>
      </c>
      <c r="E14" s="6" t="s">
        <v>29</v>
      </c>
      <c r="F14" s="7" t="s">
        <v>21</v>
      </c>
      <c r="G14" s="7"/>
      <c r="H14" s="7"/>
      <c r="I14" s="6" t="s">
        <v>37</v>
      </c>
    </row>
    <row r="15" spans="1:13" x14ac:dyDescent="0.35">
      <c r="A15" s="4">
        <v>46135</v>
      </c>
      <c r="B15" s="10">
        <v>0.44791666666666702</v>
      </c>
      <c r="C15" s="10">
        <v>0.45486111111111099</v>
      </c>
      <c r="D15" s="5">
        <f>C15-B15</f>
        <v>6.9444444444439757E-3</v>
      </c>
      <c r="E15" s="6"/>
      <c r="F15" s="7" t="s">
        <v>15</v>
      </c>
      <c r="G15" s="7"/>
      <c r="H15" s="7"/>
      <c r="I15" s="6"/>
    </row>
    <row r="16" spans="1:13" x14ac:dyDescent="0.35">
      <c r="A16" s="4">
        <v>46135</v>
      </c>
      <c r="B16" s="10">
        <v>0.5</v>
      </c>
      <c r="C16" s="10">
        <v>0.50694444444444442</v>
      </c>
      <c r="D16" s="5">
        <f>C16-B16</f>
        <v>6.9444444444444198E-3</v>
      </c>
      <c r="E16" s="6" t="s">
        <v>27</v>
      </c>
      <c r="F16" s="7" t="s">
        <v>9</v>
      </c>
      <c r="G16" s="7" t="str">
        <f>IF(F16="P1","Normal activity",IF(F16="P2","Clustering / aggregation",IF(F16="P3","Agitation",IF(F16="P4","Lethargy",IF(F16="P5","Jumping / splashing",IF(F16="P6","Reactivity to noise"))))))</f>
        <v>Normal activity</v>
      </c>
      <c r="H16" s="7" t="str">
        <f>IF(F16="P1","Regular swimming, even distribution",IF(F16="P2","Fish grouped in one corner",IF(F16="P3","Rapid swimming, escape behavior",IF(F16="P4","Little movement",IF(F16="P5","Jumping out of the water",IF(F16="P6","Reaction to a tool or impact"))))))</f>
        <v>Regular swimming, even distribution</v>
      </c>
      <c r="I16" s="6" t="s">
        <v>38</v>
      </c>
    </row>
    <row r="17" spans="1:9" x14ac:dyDescent="0.35">
      <c r="A17" s="4">
        <v>46135</v>
      </c>
      <c r="B17" s="10">
        <v>0.5</v>
      </c>
      <c r="C17" s="10">
        <v>0.50694444444444442</v>
      </c>
      <c r="D17" s="5">
        <f>C17-B17</f>
        <v>6.9444444444444198E-3</v>
      </c>
      <c r="E17" s="6" t="s">
        <v>28</v>
      </c>
      <c r="F17" s="7" t="s">
        <v>9</v>
      </c>
      <c r="G17" s="7" t="str">
        <f>IF(F17="P1","Normal activity",IF(F17="P2","Clustering / aggregation",IF(F17="P3","Agitation",IF(F17="P4","Lethargy",IF(F17="P5","Jumping / splashing",IF(F17="P6","Reactivity to noise"))))))</f>
        <v>Normal activity</v>
      </c>
      <c r="H17" s="7" t="str">
        <f>IF(F17="P1","Regular swimming, even distribution",IF(F17="P2","Fish grouped in one corner",IF(F17="P3","Rapid swimming, escape behavior",IF(F17="P4","Little movement",IF(F17="P5","Jumping out of the water",IF(F17="P6","Reaction to a tool or impact"))))))</f>
        <v>Regular swimming, even distribution</v>
      </c>
      <c r="I17" s="6" t="s">
        <v>38</v>
      </c>
    </row>
    <row r="18" spans="1:9" x14ac:dyDescent="0.35">
      <c r="A18" s="4">
        <v>46135</v>
      </c>
      <c r="B18" s="10">
        <v>0.5</v>
      </c>
      <c r="C18" s="10">
        <v>0.50694444444444398</v>
      </c>
      <c r="D18" s="5">
        <f>C18-B18</f>
        <v>6.9444444444439757E-3</v>
      </c>
      <c r="E18" s="6" t="s">
        <v>28</v>
      </c>
      <c r="F18" s="7" t="s">
        <v>12</v>
      </c>
      <c r="G18" s="7"/>
      <c r="H18" s="7"/>
      <c r="I18" s="6"/>
    </row>
    <row r="19" spans="1:9" x14ac:dyDescent="0.35">
      <c r="A19" s="4">
        <v>46135</v>
      </c>
      <c r="B19" s="10">
        <v>0.5</v>
      </c>
      <c r="C19" s="10">
        <v>0.50694444444444398</v>
      </c>
      <c r="D19" s="5">
        <f>C19-B19</f>
        <v>6.9444444444439757E-3</v>
      </c>
      <c r="E19" s="6" t="s">
        <v>29</v>
      </c>
      <c r="F19" s="7" t="s">
        <v>9</v>
      </c>
      <c r="G19" s="7" t="str">
        <f>IF(F19="P1","Normal activity",IF(F19="P2","Clustering / aggregation",IF(F19="P3","Agitation",IF(F19="P4","Lethargy",IF(F19="P5","Jumping / splashing",IF(F19="P6","Reactivity to noise"))))))</f>
        <v>Normal activity</v>
      </c>
      <c r="H19" s="7" t="str">
        <f>IF(F19="P1","Regular swimming, even distribution",IF(F19="P2","Fish grouped in one corner",IF(F19="P3","Rapid swimming, escape behavior",IF(F19="P4","Little movement",IF(F19="P5","Jumping out of the water",IF(F19="P6","Reaction to a tool or impact"))))))</f>
        <v>Regular swimming, even distribution</v>
      </c>
      <c r="I19" s="6" t="s">
        <v>38</v>
      </c>
    </row>
    <row r="20" spans="1:9" x14ac:dyDescent="0.35">
      <c r="A20" s="4">
        <v>46135</v>
      </c>
      <c r="B20" s="10">
        <v>0.5</v>
      </c>
      <c r="C20" s="10">
        <v>0.50694444444444398</v>
      </c>
      <c r="D20" s="5">
        <f>C20-B20</f>
        <v>6.9444444444439757E-3</v>
      </c>
      <c r="E20" s="6" t="s">
        <v>31</v>
      </c>
      <c r="F20" s="7" t="s">
        <v>9</v>
      </c>
      <c r="G20" s="7" t="str">
        <f>IF(F20="P1","Normal activity",IF(F20="P2","Clustering / aggregation",IF(F20="P3","Agitation",IF(F20="P4","Lethargy",IF(F20="P5","Jumping / splashing",IF(F20="P6","Reactivity to noise"))))))</f>
        <v>Normal activity</v>
      </c>
      <c r="H20" s="7" t="str">
        <f>IF(F20="P1","Regular swimming, even distribution",IF(F20="P2","Fish grouped in one corner",IF(F20="P3","Rapid swimming, escape behavior",IF(F20="P4","Little movement",IF(F20="P5","Jumping out of the water",IF(F20="P6","Reaction to a tool or impact"))))))</f>
        <v>Regular swimming, even distribution</v>
      </c>
      <c r="I20" s="6" t="s">
        <v>39</v>
      </c>
    </row>
    <row r="21" spans="1:9" x14ac:dyDescent="0.35">
      <c r="A21" s="4">
        <v>46135</v>
      </c>
      <c r="B21" s="10">
        <v>0.5</v>
      </c>
      <c r="C21" s="10">
        <v>0.50694444444444398</v>
      </c>
      <c r="D21" s="5">
        <f>C21-B21</f>
        <v>6.9444444444439757E-3</v>
      </c>
      <c r="E21" s="6" t="s">
        <v>31</v>
      </c>
      <c r="F21" s="7" t="s">
        <v>15</v>
      </c>
      <c r="G21" s="7" t="str">
        <f>IF(F21="P1","Normal activity",IF(F21="P2","Clustering / aggregation",IF(F21="P3","Agitation",IF(F21="P4","Lethargy",IF(F21="P5","Jumping / splashing",IF(F21="P6","Reactivity to noise"))))))</f>
        <v>Agitation</v>
      </c>
      <c r="H21" s="7" t="str">
        <f>IF(F21="P1","Regular swimming, even distribution",IF(F21="P2","Fish grouped in one corner",IF(F21="P3","Rapid swimming, escape behavior",IF(F21="P4","Little movement",IF(F21="P5","Jumping out of the water",IF(F21="P6","Reaction to a tool or impact"))))))</f>
        <v>Rapid swimming, escape behavior</v>
      </c>
      <c r="I21" s="6"/>
    </row>
    <row r="22" spans="1:9" x14ac:dyDescent="0.35">
      <c r="A22" s="4">
        <v>46135</v>
      </c>
      <c r="B22" s="10">
        <v>0.51388888888888884</v>
      </c>
      <c r="C22" s="10">
        <v>0.51736111111111116</v>
      </c>
      <c r="D22" s="5">
        <f>C22-B22</f>
        <v>3.4722222222223209E-3</v>
      </c>
      <c r="E22" s="6"/>
      <c r="F22" s="7"/>
      <c r="G22" s="7" t="b">
        <f>IF(F22="P1","Normal activity",IF(F22="P2","Clustering / aggregation",IF(F22="P3","Agitation",IF(F22="P4","Lethargy",IF(F22="P5","Jumping / splashing",IF(F22="P6","Reactivity to noise"))))))</f>
        <v>0</v>
      </c>
      <c r="H22" s="7" t="b">
        <f>IF(F22="P1","Regular swimming, even distribution",IF(F22="P2","Fish grouped in one corner",IF(F22="P3","Rapid swimming, escape behavior",IF(F22="P4","Little movement",IF(F22="P5","Jumping out of the water",IF(F22="P6","Reaction to a tool or impact"))))))</f>
        <v>0</v>
      </c>
      <c r="I22" s="6" t="s">
        <v>40</v>
      </c>
    </row>
    <row r="23" spans="1:9" x14ac:dyDescent="0.35">
      <c r="A23" s="4">
        <v>46135</v>
      </c>
      <c r="B23" s="10">
        <v>0.51388888888888884</v>
      </c>
      <c r="C23" s="10">
        <v>0.51736111111111116</v>
      </c>
      <c r="D23" s="5">
        <f>C23-B23</f>
        <v>3.4722222222223209E-3</v>
      </c>
      <c r="E23" s="6"/>
      <c r="F23" s="7"/>
      <c r="G23" s="7" t="b">
        <f>IF(F23="P1","Normal activity",IF(F23="P2","Clustering / aggregation",IF(F23="P3","Agitation",IF(F23="P4","Lethargy",IF(F23="P5","Jumping / splashing",IF(F23="P6","Reactivity to noise"))))))</f>
        <v>0</v>
      </c>
      <c r="H23" s="7" t="b">
        <f>IF(F23="P1","Regular swimming, even distribution",IF(F23="P2","Fish grouped in one corner",IF(F23="P3","Rapid swimming, escape behavior",IF(F23="P4","Little movement",IF(F23="P5","Jumping out of the water",IF(F23="P6","Reaction to a tool or impact"))))))</f>
        <v>0</v>
      </c>
      <c r="I23" s="6" t="s">
        <v>40</v>
      </c>
    </row>
    <row r="24" spans="1:9" x14ac:dyDescent="0.35">
      <c r="A24" s="4">
        <v>46135</v>
      </c>
      <c r="B24" s="10">
        <v>0.51388888888888895</v>
      </c>
      <c r="C24" s="10">
        <v>0.51736111111111105</v>
      </c>
      <c r="D24" s="5">
        <f>C24-B24</f>
        <v>3.4722222222220989E-3</v>
      </c>
      <c r="E24" s="6"/>
      <c r="F24" s="7"/>
      <c r="G24" s="7" t="b">
        <f>IF(F24="P1","Normal activity",IF(F24="P2","Clustering / aggregation",IF(F24="P3","Agitation",IF(F24="P4","Lethargy",IF(F24="P5","Jumping / splashing",IF(F24="P6","Reactivity to noise"))))))</f>
        <v>0</v>
      </c>
      <c r="H24" s="7" t="b">
        <f>IF(F24="P1","Regular swimming, even distribution",IF(F24="P2","Fish grouped in one corner",IF(F24="P3","Rapid swimming, escape behavior",IF(F24="P4","Little movement",IF(F24="P5","Jumping out of the water",IF(F24="P6","Reaction to a tool or impact"))))))</f>
        <v>0</v>
      </c>
      <c r="I24" s="6" t="s">
        <v>40</v>
      </c>
    </row>
    <row r="25" spans="1:9" x14ac:dyDescent="0.35">
      <c r="A25" s="4">
        <v>46135</v>
      </c>
      <c r="B25" s="10">
        <v>0.51388888888888895</v>
      </c>
      <c r="C25" s="10">
        <v>0.51736111111111105</v>
      </c>
      <c r="D25" s="5">
        <f>C25-B25</f>
        <v>3.4722222222220989E-3</v>
      </c>
      <c r="E25" s="6"/>
      <c r="F25" s="7"/>
      <c r="G25" s="7" t="b">
        <f>IF(F25="P1","Normal activity",IF(F25="P2","Clustering / aggregation",IF(F25="P3","Agitation",IF(F25="P4","Lethargy",IF(F25="P5","Jumping / splashing",IF(F25="P6","Reactivity to noise"))))))</f>
        <v>0</v>
      </c>
      <c r="H25" s="7" t="b">
        <f>IF(F25="P1","Regular swimming, even distribution",IF(F25="P2","Fish grouped in one corner",IF(F25="P3","Rapid swimming, escape behavior",IF(F25="P4","Little movement",IF(F25="P5","Jumping out of the water",IF(F25="P6","Reaction to a tool or impact"))))))</f>
        <v>0</v>
      </c>
      <c r="I25" s="6" t="s">
        <v>40</v>
      </c>
    </row>
    <row r="26" spans="1:9" x14ac:dyDescent="0.35">
      <c r="A26" s="4">
        <v>46135</v>
      </c>
      <c r="B26" s="10">
        <v>0.51736111111111116</v>
      </c>
      <c r="C26" s="10">
        <v>0.52430555555555558</v>
      </c>
      <c r="D26" s="5">
        <f>C26-B26</f>
        <v>6.9444444444444198E-3</v>
      </c>
      <c r="E26" s="6" t="s">
        <v>27</v>
      </c>
      <c r="F26" s="7" t="s">
        <v>21</v>
      </c>
      <c r="G26" s="7" t="str">
        <f>IF(F26="P1","Normal activity",IF(F26="P2","Clustering / aggregation",IF(F26="P3","Agitation",IF(F26="P4","Lethargy",IF(F26="P5","Jumping / splashing",IF(F26="P6","Reactivity to noise"))))))</f>
        <v>Jumping / splashing</v>
      </c>
      <c r="H26" s="7" t="str">
        <f>IF(F26="P1","Regular swimming, even distribution",IF(F26="P2","Fish grouped in one corner",IF(F26="P3","Rapid swimming, escape behavior",IF(F26="P4","Little movement",IF(F26="P5","Jumping out of the water",IF(F26="P6","Reaction to a tool or impact"))))))</f>
        <v>Jumping out of the water</v>
      </c>
      <c r="I26" s="6" t="s">
        <v>41</v>
      </c>
    </row>
    <row r="27" spans="1:9" x14ac:dyDescent="0.35">
      <c r="A27" s="4">
        <v>46135</v>
      </c>
      <c r="B27" s="10">
        <v>0.51736111111111116</v>
      </c>
      <c r="C27" s="10">
        <v>0.52430555555555558</v>
      </c>
      <c r="D27" s="5">
        <f>C27-B27</f>
        <v>6.9444444444444198E-3</v>
      </c>
      <c r="E27" s="6" t="s">
        <v>27</v>
      </c>
      <c r="F27" s="7" t="s">
        <v>15</v>
      </c>
      <c r="G27" s="7"/>
      <c r="H27" s="7"/>
      <c r="I27" s="6"/>
    </row>
    <row r="28" spans="1:9" x14ac:dyDescent="0.35">
      <c r="A28" s="4">
        <v>46135</v>
      </c>
      <c r="B28" s="10">
        <v>0.51736111111111116</v>
      </c>
      <c r="C28" s="10">
        <v>0.52430555555555558</v>
      </c>
      <c r="D28" s="5">
        <f>C28-B28</f>
        <v>6.9444444444444198E-3</v>
      </c>
      <c r="E28" s="6" t="s">
        <v>28</v>
      </c>
      <c r="F28" s="7"/>
      <c r="G28" s="7" t="b">
        <f>IF(F28="P1","Normal activity",IF(F28="P2","Clustering / aggregation",IF(F28="P3","Agitation",IF(F28="P4","Lethargy",IF(F28="P5","Jumping / splashing",IF(F28="P6","Reactivity to noise"))))))</f>
        <v>0</v>
      </c>
      <c r="H28" s="7" t="b">
        <f>IF(F28="P1","Regular swimming, even distribution",IF(F28="P2","Fish grouped in one corner",IF(F28="P3","Rapid swimming, escape behavior",IF(F28="P4","Little movement",IF(F28="P5","Jumping out of the water",IF(F28="P6","Reaction to a tool or impact"))))))</f>
        <v>0</v>
      </c>
      <c r="I28" s="6" t="s">
        <v>42</v>
      </c>
    </row>
    <row r="29" spans="1:9" x14ac:dyDescent="0.35">
      <c r="A29" s="4">
        <v>46135</v>
      </c>
      <c r="B29" s="10">
        <v>0.51736111111111105</v>
      </c>
      <c r="C29" s="10">
        <v>0.52430555555555602</v>
      </c>
      <c r="D29" s="5">
        <f>C29-B29</f>
        <v>6.9444444444449749E-3</v>
      </c>
      <c r="E29" s="6" t="s">
        <v>29</v>
      </c>
      <c r="F29" s="7" t="s">
        <v>9</v>
      </c>
      <c r="G29" s="7" t="str">
        <f>IF(F29="P1","Normal activity",IF(F29="P2","Clustering / aggregation",IF(F29="P3","Agitation",IF(F29="P4","Lethargy",IF(F29="P5","Jumping / splashing",IF(F29="P6","Reactivity to noise"))))))</f>
        <v>Normal activity</v>
      </c>
      <c r="H29" s="7" t="str">
        <f>IF(F29="P1","Regular swimming, even distribution",IF(F29="P2","Fish grouped in one corner",IF(F29="P3","Rapid swimming, escape behavior",IF(F29="P4","Little movement",IF(F29="P5","Jumping out of the water",IF(F29="P6","Reaction to a tool or impact"))))))</f>
        <v>Regular swimming, even distribution</v>
      </c>
      <c r="I29" s="6" t="s">
        <v>43</v>
      </c>
    </row>
    <row r="30" spans="1:9" x14ac:dyDescent="0.35">
      <c r="A30" s="4">
        <v>46135</v>
      </c>
      <c r="B30" s="10">
        <v>0.51736111111111105</v>
      </c>
      <c r="C30" s="10">
        <v>0.52430555555555602</v>
      </c>
      <c r="D30" s="5">
        <f>C30-B30</f>
        <v>6.9444444444449749E-3</v>
      </c>
      <c r="E30" s="6" t="s">
        <v>31</v>
      </c>
      <c r="F30" s="7"/>
      <c r="G30" s="7" t="b">
        <f>IF(F30="P1","Normal activity",IF(F30="P2","Clustering / aggregation",IF(F30="P3","Agitation",IF(F30="P4","Lethargy",IF(F30="P5","Jumping / splashing",IF(F30="P6","Reactivity to noise"))))))</f>
        <v>0</v>
      </c>
      <c r="H30" s="7" t="b">
        <f>IF(F30="P1","Regular swimming, even distribution",IF(F30="P2","Fish grouped in one corner",IF(F30="P3","Rapid swimming, escape behavior",IF(F30="P4","Little movement",IF(F30="P5","Jumping out of the water",IF(F30="P6","Reaction to a tool or impact"))))))</f>
        <v>0</v>
      </c>
      <c r="I30" s="6" t="s">
        <v>44</v>
      </c>
    </row>
    <row r="31" spans="1:9" x14ac:dyDescent="0.35">
      <c r="A31" s="4">
        <v>46135</v>
      </c>
      <c r="B31" s="10">
        <v>0.57638888888888884</v>
      </c>
      <c r="C31" s="10">
        <v>0.58333333333333337</v>
      </c>
      <c r="D31" s="5">
        <f>C31-B31</f>
        <v>6.9444444444445308E-3</v>
      </c>
      <c r="E31" s="6" t="s">
        <v>27</v>
      </c>
      <c r="F31" s="7" t="s">
        <v>9</v>
      </c>
      <c r="G31" s="7" t="str">
        <f>IF(F31="P1","Normal activity",IF(F31="P2","Clustering / aggregation",IF(F31="P3","Agitation",IF(F31="P4","Lethargy",IF(F31="P5","Jumping / splashing",IF(F31="P6","Reactivity to noise"))))))</f>
        <v>Normal activity</v>
      </c>
      <c r="H31" s="7" t="str">
        <f>IF(F31="P1","Regular swimming, even distribution",IF(F31="P2","Fish grouped in one corner",IF(F31="P3","Rapid swimming, escape behavior",IF(F31="P4","Little movement",IF(F31="P5","Jumping out of the water",IF(F31="P6","Reaction to a tool or impact"))))))</f>
        <v>Regular swimming, even distribution</v>
      </c>
      <c r="I31" s="6" t="s">
        <v>45</v>
      </c>
    </row>
    <row r="32" spans="1:9" x14ac:dyDescent="0.35">
      <c r="A32" s="4">
        <v>46135</v>
      </c>
      <c r="B32" s="10">
        <v>0.57638888888888884</v>
      </c>
      <c r="C32" s="10">
        <v>0.58333333333333337</v>
      </c>
      <c r="D32" s="5">
        <f>C32-B32</f>
        <v>6.9444444444445308E-3</v>
      </c>
      <c r="E32" s="6" t="s">
        <v>27</v>
      </c>
      <c r="F32" s="7" t="s">
        <v>12</v>
      </c>
      <c r="G32" s="7" t="str">
        <f>IF(F32="P1","Normal activity",IF(F32="P2","Clustering / aggregation",IF(F32="P3","Agitation",IF(F32="P4","Lethargy",IF(F32="P5","Jumping / splashing",IF(F32="P6","Reactivity to noise"))))))</f>
        <v>Clustering / aggregation</v>
      </c>
      <c r="H32" s="7" t="str">
        <f>IF(F32="P1","Regular swimming, even distribution",IF(F32="P2","Fish grouped in one corner",IF(F32="P3","Rapid swimming, escape behavior",IF(F32="P4","Little movement",IF(F32="P5","Jumping out of the water",IF(F32="P6","Reaction to a tool or impact"))))))</f>
        <v>Fish grouped in one corner</v>
      </c>
      <c r="I32" s="6"/>
    </row>
    <row r="33" spans="1:9" x14ac:dyDescent="0.35">
      <c r="A33" s="4">
        <v>46135</v>
      </c>
      <c r="B33" s="10">
        <v>0.57638888888888884</v>
      </c>
      <c r="C33" s="10">
        <v>0.58333333333333337</v>
      </c>
      <c r="D33" s="5">
        <f>C33-B33</f>
        <v>6.9444444444445308E-3</v>
      </c>
      <c r="E33" s="6" t="s">
        <v>28</v>
      </c>
      <c r="F33" s="7" t="s">
        <v>9</v>
      </c>
      <c r="G33" s="7" t="str">
        <f>IF(F33="P1","Normal activity",IF(F33="P2","Clustering / aggregation",IF(F33="P3","Agitation",IF(F33="P4","Lethargy",IF(F33="P5","Jumping / splashing",IF(F33="P6","Reactivity to noise"))))))</f>
        <v>Normal activity</v>
      </c>
      <c r="H33" s="7" t="str">
        <f>IF(F33="P1","Regular swimming, even distribution",IF(F33="P2","Fish grouped in one corner",IF(F33="P3","Rapid swimming, escape behavior",IF(F33="P4","Little movement",IF(F33="P5","Jumping out of the water",IF(F33="P6","Reaction to a tool or impact"))))))</f>
        <v>Regular swimming, even distribution</v>
      </c>
      <c r="I33" s="6" t="s">
        <v>46</v>
      </c>
    </row>
    <row r="34" spans="1:9" x14ac:dyDescent="0.35">
      <c r="A34" s="4">
        <v>46135</v>
      </c>
      <c r="B34" s="10">
        <v>0.57638888888888895</v>
      </c>
      <c r="C34" s="10">
        <v>0.58333333333333304</v>
      </c>
      <c r="D34" s="5">
        <f>C34-B34</f>
        <v>6.9444444444440867E-3</v>
      </c>
      <c r="E34" s="6" t="s">
        <v>29</v>
      </c>
      <c r="F34" s="7" t="s">
        <v>47</v>
      </c>
      <c r="G34" s="7" t="b">
        <f>IF(F34="P1","Normal activity",IF(F34="P2","Clustering / aggregation",IF(F34="P3","Agitation",IF(F34="P4","Lethargy",IF(F34="P5","Jumping / splashing",IF(F34="P6","Reactivity to noise"))))))</f>
        <v>0</v>
      </c>
      <c r="H34" s="7" t="b">
        <f>IF(F34="P1","Regular swimming, even distribution",IF(F34="P2","Fish grouped in one corner",IF(F34="P3","Rapid swimming, escape behavior",IF(F34="P4","Little movement",IF(F34="P5","Jumping out of the water",IF(F34="P6","Reaction to a tool or impact"))))))</f>
        <v>0</v>
      </c>
      <c r="I34" s="6" t="s">
        <v>48</v>
      </c>
    </row>
    <row r="35" spans="1:9" x14ac:dyDescent="0.35">
      <c r="A35" s="4">
        <v>46135</v>
      </c>
      <c r="B35" s="10">
        <v>0.57638888888888895</v>
      </c>
      <c r="C35" s="10">
        <v>0.58333333333333304</v>
      </c>
      <c r="D35" s="5">
        <f>C35-B35</f>
        <v>6.9444444444440867E-3</v>
      </c>
      <c r="E35" s="6" t="s">
        <v>29</v>
      </c>
      <c r="F35" s="7" t="s">
        <v>12</v>
      </c>
      <c r="G35" s="7" t="str">
        <f>IF(F35="P1","Normal activity",IF(F35="P2","Clustering / aggregation",IF(F35="P3","Agitation",IF(F35="P4","Lethargy",IF(F35="P5","Jumping / splashing",IF(F35="P6","Reactivity to noise"))))))</f>
        <v>Clustering / aggregation</v>
      </c>
      <c r="H35" s="7" t="str">
        <f>IF(F35="P1","Regular swimming, even distribution",IF(F35="P2","Fish grouped in one corner",IF(F35="P3","Rapid swimming, escape behavior",IF(F35="P4","Little movement",IF(F35="P5","Jumping out of the water",IF(F35="P6","Reaction to a tool or impact"))))))</f>
        <v>Fish grouped in one corner</v>
      </c>
      <c r="I35" s="6"/>
    </row>
    <row r="36" spans="1:9" x14ac:dyDescent="0.35">
      <c r="A36" s="4">
        <v>46135</v>
      </c>
      <c r="B36" s="10">
        <v>0.57638888888888895</v>
      </c>
      <c r="C36" s="10">
        <v>0.58333333333333304</v>
      </c>
      <c r="D36" s="5">
        <f>C36-B36</f>
        <v>6.9444444444440867E-3</v>
      </c>
      <c r="E36" s="6" t="s">
        <v>31</v>
      </c>
      <c r="F36" s="7" t="s">
        <v>9</v>
      </c>
      <c r="G36" s="7" t="str">
        <f>IF(F36="P1","Normal activity",IF(F36="P2","Clustering / aggregation",IF(F36="P3","Agitation",IF(F36="P4","Lethargy",IF(F36="P5","Jumping / splashing",IF(F36="P6","Reactivity to noise"))))))</f>
        <v>Normal activity</v>
      </c>
      <c r="H36" s="7" t="str">
        <f>IF(F36="P1","Regular swimming, even distribution",IF(F36="P2","Fish grouped in one corner",IF(F36="P3","Rapid swimming, escape behavior",IF(F36="P4","Little movement",IF(F36="P5","Jumping out of the water",IF(F36="P6","Reaction to a tool or impact"))))))</f>
        <v>Regular swimming, even distribution</v>
      </c>
      <c r="I36" s="6" t="s">
        <v>49</v>
      </c>
    </row>
    <row r="37" spans="1:9" x14ac:dyDescent="0.35">
      <c r="A37" s="4">
        <v>46135</v>
      </c>
      <c r="B37" s="10">
        <v>0.57638888888888895</v>
      </c>
      <c r="C37" s="10">
        <v>0.58333333333333304</v>
      </c>
      <c r="D37" s="5">
        <f>C37-B37</f>
        <v>6.9444444444440867E-3</v>
      </c>
      <c r="E37" s="6" t="s">
        <v>31</v>
      </c>
      <c r="F37" s="7" t="s">
        <v>12</v>
      </c>
      <c r="G37" s="7" t="str">
        <f>IF(F37="P1","Normal activity",IF(F37="P2","Clustering / aggregation",IF(F37="P3","Agitation",IF(F37="P4","Lethargy",IF(F37="P5","Jumping / splashing",IF(F37="P6","Reactivity to noise"))))))</f>
        <v>Clustering / aggregation</v>
      </c>
      <c r="H37" s="7" t="str">
        <f>IF(F37="P1","Regular swimming, even distribution",IF(F37="P2","Fish grouped in one corner",IF(F37="P3","Rapid swimming, escape behavior",IF(F37="P4","Little movement",IF(F37="P5","Jumping out of the water",IF(F37="P6","Reaction to a tool or impact"))))))</f>
        <v>Fish grouped in one corner</v>
      </c>
      <c r="I37" s="6"/>
    </row>
    <row r="38" spans="1:9" x14ac:dyDescent="0.35">
      <c r="A38" s="4">
        <v>46135</v>
      </c>
      <c r="B38" s="10">
        <v>0.58333333333333337</v>
      </c>
      <c r="C38" s="10">
        <v>0.58680555555555558</v>
      </c>
      <c r="D38" s="5">
        <f>C38-B38</f>
        <v>3.4722222222222099E-3</v>
      </c>
      <c r="E38" s="6" t="s">
        <v>50</v>
      </c>
      <c r="F38" s="7"/>
      <c r="G38" s="7" t="b">
        <f>IF(F38="P1","Normal activity",IF(F38="P2","Clustering / aggregation",IF(F38="P3","Agitation",IF(F38="P4","Lethargy",IF(F38="P5","Jumping / splashing",IF(F38="P6","Reactivity to noise"))))))</f>
        <v>0</v>
      </c>
      <c r="H38" s="7" t="b">
        <f>IF(F38="P1","Regular swimming, even distribution",IF(F38="P2","Fish grouped in one corner",IF(F38="P3","Rapid swimming, escape behavior",IF(F38="P4","Little movement",IF(F38="P5","Jumping out of the water",IF(F38="P6","Reaction to a tool or impact"))))))</f>
        <v>0</v>
      </c>
      <c r="I38" s="6" t="s">
        <v>51</v>
      </c>
    </row>
    <row r="39" spans="1:9" x14ac:dyDescent="0.35">
      <c r="A39" s="4">
        <v>46135</v>
      </c>
      <c r="B39" s="10">
        <v>0.58680555555555558</v>
      </c>
      <c r="C39" s="10">
        <v>0.59375</v>
      </c>
      <c r="D39" s="5">
        <f>C39-B39</f>
        <v>6.9444444444444198E-3</v>
      </c>
      <c r="E39" s="6" t="s">
        <v>27</v>
      </c>
      <c r="F39" s="7" t="s">
        <v>9</v>
      </c>
      <c r="G39" s="7" t="str">
        <f>IF(F39="P1","Normal activity",IF(F39="P2","Clustering / aggregation",IF(F39="P3","Agitation",IF(F39="P4","Lethargy",IF(F39="P5","Jumping / splashing",IF(F39="P6","Reactivity to noise"))))))</f>
        <v>Normal activity</v>
      </c>
      <c r="H39" s="7" t="str">
        <f>IF(F39="P1","Regular swimming, even distribution",IF(F39="P2","Fish grouped in one corner",IF(F39="P3","Rapid swimming, escape behavior",IF(F39="P4","Little movement",IF(F39="P5","Jumping out of the water",IF(F39="P6","Reaction to a tool or impact"))))))</f>
        <v>Regular swimming, even distribution</v>
      </c>
      <c r="I39" s="6" t="s">
        <v>52</v>
      </c>
    </row>
    <row r="40" spans="1:9" x14ac:dyDescent="0.35">
      <c r="A40" s="4">
        <v>46135</v>
      </c>
      <c r="B40" s="10">
        <v>0.58680555555555558</v>
      </c>
      <c r="C40" s="10">
        <v>0.59375</v>
      </c>
      <c r="D40" s="5">
        <f>C40-B40</f>
        <v>6.9444444444444198E-3</v>
      </c>
      <c r="E40" s="6" t="s">
        <v>27</v>
      </c>
      <c r="F40" s="7" t="s">
        <v>12</v>
      </c>
      <c r="G40" s="7" t="str">
        <f>IF(F40="P1","Normal activity",IF(F40="P2","Clustering / aggregation",IF(F40="P3","Agitation",IF(F40="P4","Lethargy",IF(F40="P5","Jumping / splashing",IF(F40="P6","Reactivity to noise"))))))</f>
        <v>Clustering / aggregation</v>
      </c>
      <c r="H40" s="7" t="str">
        <f>IF(F40="P1","Regular swimming, even distribution",IF(F40="P2","Fish grouped in one corner",IF(F40="P3","Rapid swimming, escape behavior",IF(F40="P4","Little movement",IF(F40="P5","Jumping out of the water",IF(F40="P6","Reaction to a tool or impact"))))))</f>
        <v>Fish grouped in one corner</v>
      </c>
      <c r="I40" s="6"/>
    </row>
    <row r="41" spans="1:9" x14ac:dyDescent="0.35">
      <c r="A41" s="4">
        <v>46135</v>
      </c>
      <c r="B41" s="10">
        <v>0.58680555555555558</v>
      </c>
      <c r="C41" s="10">
        <v>0.59375</v>
      </c>
      <c r="D41" s="5">
        <f>C41-B41</f>
        <v>6.9444444444444198E-3</v>
      </c>
      <c r="E41" s="6" t="s">
        <v>28</v>
      </c>
      <c r="F41" s="7" t="s">
        <v>9</v>
      </c>
      <c r="G41" s="7" t="str">
        <f>IF(F41="P1","Normal activity",IF(F41="P2","Clustering / aggregation",IF(F41="P3","Agitation",IF(F41="P4","Lethargy",IF(F41="P5","Jumping / splashing",IF(F41="P6","Reactivity to noise"))))))</f>
        <v>Normal activity</v>
      </c>
      <c r="H41" s="7" t="str">
        <f>IF(F41="P1","Regular swimming, even distribution",IF(F41="P2","Fish grouped in one corner",IF(F41="P3","Rapid swimming, escape behavior",IF(F41="P4","Little movement",IF(F41="P5","Jumping out of the water",IF(F41="P6","Reaction to a tool or impact"))))))</f>
        <v>Regular swimming, even distribution</v>
      </c>
      <c r="I41" s="6"/>
    </row>
    <row r="42" spans="1:9" x14ac:dyDescent="0.35">
      <c r="A42" s="4">
        <v>46135</v>
      </c>
      <c r="B42" s="10">
        <v>0.58680555555555558</v>
      </c>
      <c r="C42" s="10">
        <v>0.59375</v>
      </c>
      <c r="D42" s="5">
        <f>C42-B42</f>
        <v>6.9444444444444198E-3</v>
      </c>
      <c r="E42" s="6" t="s">
        <v>28</v>
      </c>
      <c r="F42" s="7" t="s">
        <v>12</v>
      </c>
      <c r="G42" s="7" t="str">
        <f>IF(F42="P1","Normal activity",IF(F42="P2","Clustering / aggregation",IF(F42="P3","Agitation",IF(F42="P4","Lethargy",IF(F42="P5","Jumping / splashing",IF(F42="P6","Reactivity to noise"))))))</f>
        <v>Clustering / aggregation</v>
      </c>
      <c r="H42" s="7" t="str">
        <f>IF(F42="P1","Regular swimming, even distribution",IF(F42="P2","Fish grouped in one corner",IF(F42="P3","Rapid swimming, escape behavior",IF(F42="P4","Little movement",IF(F42="P5","Jumping out of the water",IF(F42="P6","Reaction to a tool or impact"))))))</f>
        <v>Fish grouped in one corner</v>
      </c>
      <c r="I42" s="6"/>
    </row>
    <row r="43" spans="1:9" x14ac:dyDescent="0.35">
      <c r="A43" s="4">
        <v>46135</v>
      </c>
      <c r="B43" s="10">
        <v>0.58680555555555558</v>
      </c>
      <c r="C43" s="10">
        <v>0.59375</v>
      </c>
      <c r="D43" s="5">
        <f>C43-B43</f>
        <v>6.9444444444444198E-3</v>
      </c>
      <c r="E43" s="6" t="s">
        <v>29</v>
      </c>
      <c r="F43" s="7" t="s">
        <v>47</v>
      </c>
      <c r="G43" s="7" t="b">
        <f>IF(F43="P1","Normal activity",IF(F43="P2","Clustering / aggregation",IF(F43="P3","Agitation",IF(F43="P4","Lethargy",IF(F43="P5","Jumping / splashing",IF(F43="P6","Reactivity to noise"))))))</f>
        <v>0</v>
      </c>
      <c r="H43" s="7" t="b">
        <f>IF(F43="P1","Regular swimming, even distribution",IF(F43="P2","Fish grouped in one corner",IF(F43="P3","Rapid swimming, escape behavior",IF(F43="P4","Little movement",IF(F43="P5","Jumping out of the water",IF(F43="P6","Reaction to a tool or impact"))))))</f>
        <v>0</v>
      </c>
      <c r="I43" s="6" t="s">
        <v>53</v>
      </c>
    </row>
    <row r="44" spans="1:9" x14ac:dyDescent="0.35">
      <c r="A44" s="4">
        <v>46135</v>
      </c>
      <c r="B44" s="10">
        <v>0.58680555555555602</v>
      </c>
      <c r="C44" s="10">
        <v>0.59375</v>
      </c>
      <c r="D44" s="5">
        <f>C44-B44</f>
        <v>6.9444444444439757E-3</v>
      </c>
      <c r="E44" s="6" t="s">
        <v>29</v>
      </c>
      <c r="F44" s="7" t="s">
        <v>12</v>
      </c>
      <c r="G44" s="7" t="str">
        <f>IF(F44="P1","Normal activity",IF(F44="P2","Clustering / aggregation",IF(F44="P3","Agitation",IF(F44="P4","Lethargy",IF(F44="P5","Jumping / splashing",IF(F44="P6","Reactivity to noise"))))))</f>
        <v>Clustering / aggregation</v>
      </c>
      <c r="H44" s="7" t="str">
        <f>IF(F44="P1","Regular swimming, even distribution",IF(F44="P2","Fish grouped in one corner",IF(F44="P3","Rapid swimming, escape behavior",IF(F44="P4","Little movement",IF(F44="P5","Jumping out of the water",IF(F44="P6","Reaction to a tool or impact"))))))</f>
        <v>Fish grouped in one corner</v>
      </c>
      <c r="I44" s="6"/>
    </row>
    <row r="45" spans="1:9" x14ac:dyDescent="0.35">
      <c r="A45" s="4">
        <v>46135</v>
      </c>
      <c r="B45" s="10">
        <v>0.58680555555555558</v>
      </c>
      <c r="C45" s="10">
        <v>0.59375</v>
      </c>
      <c r="D45" s="5">
        <f>C45-B45</f>
        <v>6.9444444444444198E-3</v>
      </c>
      <c r="E45" s="6" t="s">
        <v>31</v>
      </c>
      <c r="F45" s="7" t="s">
        <v>9</v>
      </c>
      <c r="G45" s="7" t="str">
        <f>IF(F45="P1","Normal activity",IF(F45="P2","Clustering / aggregation",IF(F45="P3","Agitation",IF(F45="P4","Lethargy",IF(F45="P5","Jumping / splashing",IF(F45="P6","Reactivity to noise"))))))</f>
        <v>Normal activity</v>
      </c>
      <c r="H45" s="7" t="str">
        <f>IF(F45="P1","Regular swimming, even distribution",IF(F45="P2","Fish grouped in one corner",IF(F45="P3","Rapid swimming, escape behavior",IF(F45="P4","Little movement",IF(F45="P5","Jumping out of the water",IF(F45="P6","Reaction to a tool or impact"))))))</f>
        <v>Regular swimming, even distribution</v>
      </c>
      <c r="I45" s="6" t="s">
        <v>54</v>
      </c>
    </row>
    <row r="46" spans="1:9" x14ac:dyDescent="0.35">
      <c r="A46" s="4">
        <v>46135</v>
      </c>
      <c r="B46" s="10">
        <v>0.58680555555555503</v>
      </c>
      <c r="C46" s="10">
        <v>0.59375</v>
      </c>
      <c r="D46" s="5">
        <f>C46-B46</f>
        <v>6.9444444444449749E-3</v>
      </c>
      <c r="E46" s="6" t="s">
        <v>31</v>
      </c>
      <c r="F46" s="7" t="s">
        <v>12</v>
      </c>
      <c r="G46" s="7" t="str">
        <f>IF(F46="P1","Normal activity",IF(F46="P2","Clustering / aggregation",IF(F46="P3","Agitation",IF(F46="P4","Lethargy",IF(F46="P5","Jumping / splashing",IF(F46="P6","Reactivity to noise"))))))</f>
        <v>Clustering / aggregation</v>
      </c>
      <c r="H46" s="7" t="str">
        <f>IF(F46="P1","Regular swimming, even distribution",IF(F46="P2","Fish grouped in one corner",IF(F46="P3","Rapid swimming, escape behavior",IF(F46="P4","Little movement",IF(F46="P5","Jumping out of the water",IF(F46="P6","Reaction to a tool or impact"))))))</f>
        <v>Fish grouped in one corner</v>
      </c>
      <c r="I46" s="6"/>
    </row>
    <row r="47" spans="1:9" x14ac:dyDescent="0.35">
      <c r="A47" s="4">
        <v>46136</v>
      </c>
      <c r="B47" s="10">
        <v>0.36805555555555558</v>
      </c>
      <c r="C47" s="10">
        <v>0.375</v>
      </c>
      <c r="D47" s="5">
        <f>C47-B47</f>
        <v>6.9444444444444198E-3</v>
      </c>
      <c r="E47" s="6" t="s">
        <v>27</v>
      </c>
      <c r="F47" s="7" t="s">
        <v>9</v>
      </c>
      <c r="G47" s="7" t="str">
        <f>IF(F47="P1","Normal activity",IF(F47="P2","Clustering / aggregation",IF(F47="P3","Agitation",IF(F47="P4","Lethargy",IF(F47="P5","Jumping / splashing",IF(F47="P6","Reactivity to noise"))))))</f>
        <v>Normal activity</v>
      </c>
      <c r="H47" s="7" t="str">
        <f>IF(F47="P1","Regular swimming, even distribution",IF(F47="P2","Fish grouped in one corner",IF(F47="P3","Rapid swimming, escape behavior",IF(F47="P4","Little movement",IF(F47="P5","Jumping out of the water",IF(F47="P6","Reaction to a tool or impact"))))))</f>
        <v>Regular swimming, even distribution</v>
      </c>
      <c r="I47" s="6" t="s">
        <v>45</v>
      </c>
    </row>
    <row r="48" spans="1:9" x14ac:dyDescent="0.35">
      <c r="A48" s="4">
        <v>46136</v>
      </c>
      <c r="B48" s="10">
        <v>0.36805555555555558</v>
      </c>
      <c r="C48" s="10">
        <v>0.375</v>
      </c>
      <c r="D48" s="5">
        <f>C48-B48</f>
        <v>6.9444444444444198E-3</v>
      </c>
      <c r="E48" s="6" t="s">
        <v>28</v>
      </c>
      <c r="F48" s="7" t="s">
        <v>9</v>
      </c>
      <c r="G48" s="7" t="str">
        <f>IF(F48="P1","Normal activity",IF(F48="P2","Clustering / aggregation",IF(F48="P3","Agitation",IF(F48="P4","Lethargy",IF(F48="P5","Jumping / splashing",IF(F48="P6","Reactivity to noise"))))))</f>
        <v>Normal activity</v>
      </c>
      <c r="H48" s="7" t="str">
        <f>IF(F48="P1","Regular swimming, even distribution",IF(F48="P2","Fish grouped in one corner",IF(F48="P3","Rapid swimming, escape behavior",IF(F48="P4","Little movement",IF(F48="P5","Jumping out of the water",IF(F48="P6","Reaction to a tool or impact"))))))</f>
        <v>Regular swimming, even distribution</v>
      </c>
      <c r="I48" s="6" t="s">
        <v>55</v>
      </c>
    </row>
    <row r="49" spans="1:9" x14ac:dyDescent="0.35">
      <c r="A49" s="4">
        <v>46136</v>
      </c>
      <c r="B49" s="10">
        <v>0.36805555555555602</v>
      </c>
      <c r="C49" s="10">
        <v>0.375</v>
      </c>
      <c r="D49" s="5">
        <f>C49-B49</f>
        <v>6.9444444444439757E-3</v>
      </c>
      <c r="E49" s="6" t="s">
        <v>28</v>
      </c>
      <c r="F49" s="7" t="s">
        <v>15</v>
      </c>
      <c r="G49" s="7" t="str">
        <f>IF(F49="P1","Normal activity",IF(F49="P2","Clustering / aggregation",IF(F49="P3","Agitation",IF(F49="P4","Lethargy",IF(F49="P5","Jumping / splashing",IF(F49="P6","Reactivity to noise"))))))</f>
        <v>Agitation</v>
      </c>
      <c r="H49" s="7" t="str">
        <f>IF(F49="P1","Regular swimming, even distribution",IF(F49="P2","Fish grouped in one corner",IF(F49="P3","Rapid swimming, escape behavior",IF(F49="P4","Little movement",IF(F49="P5","Jumping out of the water",IF(F49="P6","Reaction to a tool or impact"))))))</f>
        <v>Rapid swimming, escape behavior</v>
      </c>
      <c r="I49" s="6"/>
    </row>
    <row r="50" spans="1:9" x14ac:dyDescent="0.35">
      <c r="A50" s="4">
        <v>46136</v>
      </c>
      <c r="B50" s="10">
        <v>0.36805555555555602</v>
      </c>
      <c r="C50" s="10">
        <v>0.375</v>
      </c>
      <c r="D50" s="5">
        <f>C50-B50</f>
        <v>6.9444444444439757E-3</v>
      </c>
      <c r="E50" s="6" t="s">
        <v>29</v>
      </c>
      <c r="F50" s="7" t="s">
        <v>9</v>
      </c>
      <c r="G50" s="7" t="str">
        <f>IF(F50="P1","Normal activity",IF(F50="P2","Clustering / aggregation",IF(F50="P3","Agitation",IF(F50="P4","Lethargy",IF(F50="P5","Jumping / splashing",IF(F50="P6","Reactivity to noise"))))))</f>
        <v>Normal activity</v>
      </c>
      <c r="H50" s="7" t="str">
        <f>IF(F50="P1","Regular swimming, even distribution",IF(F50="P2","Fish grouped in one corner",IF(F50="P3","Rapid swimming, escape behavior",IF(F50="P4","Little movement",IF(F50="P5","Jumping out of the water",IF(F50="P6","Reaction to a tool or impact"))))))</f>
        <v>Regular swimming, even distribution</v>
      </c>
      <c r="I50" s="6" t="s">
        <v>56</v>
      </c>
    </row>
    <row r="51" spans="1:9" x14ac:dyDescent="0.35">
      <c r="A51" s="4">
        <v>46136</v>
      </c>
      <c r="B51" s="10">
        <v>0.36805555555555602</v>
      </c>
      <c r="C51" s="10">
        <v>0.375</v>
      </c>
      <c r="D51" s="5">
        <f>C51-B51</f>
        <v>6.9444444444439757E-3</v>
      </c>
      <c r="E51" s="6" t="s">
        <v>29</v>
      </c>
      <c r="F51" s="7" t="s">
        <v>12</v>
      </c>
      <c r="G51" s="7" t="str">
        <f>IF(F51="P1","Normal activity",IF(F51="P2","Clustering / aggregation",IF(F51="P3","Agitation",IF(F51="P4","Lethargy",IF(F51="P5","Jumping / splashing",IF(F51="P6","Reactivity to noise"))))))</f>
        <v>Clustering / aggregation</v>
      </c>
      <c r="H51" s="7" t="str">
        <f>IF(F51="P1","Regular swimming, even distribution",IF(F51="P2","Fish grouped in one corner",IF(F51="P3","Rapid swimming, escape behavior",IF(F51="P4","Little movement",IF(F51="P5","Jumping out of the water",IF(F51="P6","Reaction to a tool or impact"))))))</f>
        <v>Fish grouped in one corner</v>
      </c>
      <c r="I51" s="6"/>
    </row>
    <row r="52" spans="1:9" x14ac:dyDescent="0.35">
      <c r="A52" s="4">
        <v>46136</v>
      </c>
      <c r="B52" s="10">
        <v>0.36805555555555602</v>
      </c>
      <c r="C52" s="10">
        <v>0.375</v>
      </c>
      <c r="D52" s="5">
        <f>C52-B52</f>
        <v>6.9444444444439757E-3</v>
      </c>
      <c r="E52" s="6" t="s">
        <v>31</v>
      </c>
      <c r="F52" s="7" t="s">
        <v>9</v>
      </c>
      <c r="G52" s="7" t="str">
        <f>IF(F52="P1","Normal activity",IF(F52="P2","Clustering / aggregation",IF(F52="P3","Agitation",IF(F52="P4","Lethargy",IF(F52="P5","Jumping / splashing",IF(F52="P6","Reactivity to noise"))))))</f>
        <v>Normal activity</v>
      </c>
      <c r="H52" s="7" t="str">
        <f>IF(F52="P1","Regular swimming, even distribution",IF(F52="P2","Fish grouped in one corner",IF(F52="P3","Rapid swimming, escape behavior",IF(F52="P4","Little movement",IF(F52="P5","Jumping out of the water",IF(F52="P6","Reaction to a tool or impact"))))))</f>
        <v>Regular swimming, even distribution</v>
      </c>
      <c r="I52" s="6" t="s">
        <v>57</v>
      </c>
    </row>
    <row r="53" spans="1:9" x14ac:dyDescent="0.35">
      <c r="A53" s="4">
        <v>46136</v>
      </c>
      <c r="B53" s="10">
        <v>0.37847222222222221</v>
      </c>
      <c r="C53" s="10">
        <v>0.38194444444444442</v>
      </c>
      <c r="D53" s="5">
        <f>C53-B53</f>
        <v>3.4722222222222099E-3</v>
      </c>
      <c r="E53" s="6" t="s">
        <v>27</v>
      </c>
      <c r="F53" s="7" t="s">
        <v>9</v>
      </c>
      <c r="G53" s="7" t="str">
        <f>IF(F53="P1","Normal activity",IF(F53="P2","Clustering / aggregation",IF(F53="P3","Agitation",IF(F53="P4","Lethargy",IF(F53="P5","Jumping / splashing",IF(F53="P6","Reactivity to noise"))))))</f>
        <v>Normal activity</v>
      </c>
      <c r="H53" s="7" t="str">
        <f>IF(F53="P1","Regular swimming, even distribution",IF(F53="P2","Fish grouped in one corner",IF(F53="P3","Rapid swimming, escape behavior",IF(F53="P4","Little movement",IF(F53="P5","Jumping out of the water",IF(F53="P6","Reaction to a tool or impact"))))))</f>
        <v>Regular swimming, even distribution</v>
      </c>
      <c r="I53" s="6" t="s">
        <v>58</v>
      </c>
    </row>
    <row r="54" spans="1:9" x14ac:dyDescent="0.35">
      <c r="A54" s="4">
        <v>46136</v>
      </c>
      <c r="B54" s="10">
        <v>0.37847222222222221</v>
      </c>
      <c r="C54" s="10">
        <v>0.38194444444444442</v>
      </c>
      <c r="D54" s="5">
        <f>C54-B54</f>
        <v>3.4722222222222099E-3</v>
      </c>
      <c r="E54" s="6" t="s">
        <v>28</v>
      </c>
      <c r="F54" s="7" t="s">
        <v>15</v>
      </c>
      <c r="G54" s="7" t="str">
        <f>IF(F54="P1","Normal activity",IF(F54="P2","Clustering / aggregation",IF(F54="P3","Agitation",IF(F54="P4","Lethargy",IF(F54="P5","Jumping / splashing",IF(F54="P6","Reactivity to noise"))))))</f>
        <v>Agitation</v>
      </c>
      <c r="H54" s="7" t="str">
        <f>IF(F54="P1","Regular swimming, even distribution",IF(F54="P2","Fish grouped in one corner",IF(F54="P3","Rapid swimming, escape behavior",IF(F54="P4","Little movement",IF(F54="P5","Jumping out of the water",IF(F54="P6","Reaction to a tool or impact"))))))</f>
        <v>Rapid swimming, escape behavior</v>
      </c>
      <c r="I54" s="6" t="s">
        <v>59</v>
      </c>
    </row>
    <row r="55" spans="1:9" x14ac:dyDescent="0.35">
      <c r="A55" s="4">
        <v>46136</v>
      </c>
      <c r="B55" s="10">
        <v>0.37847222222222199</v>
      </c>
      <c r="C55" s="10">
        <v>0.38194444444444398</v>
      </c>
      <c r="D55" s="5">
        <f>C55-B55</f>
        <v>3.4722222222219878E-3</v>
      </c>
      <c r="E55" s="6" t="s">
        <v>28</v>
      </c>
      <c r="F55" s="7" t="s">
        <v>21</v>
      </c>
      <c r="G55" s="7" t="str">
        <f>IF(F55="P1","Normal activity",IF(F55="P2","Clustering / aggregation",IF(F55="P3","Agitation",IF(F55="P4","Lethargy",IF(F55="P5","Jumping / splashing",IF(F55="P6","Reactivity to noise"))))))</f>
        <v>Jumping / splashing</v>
      </c>
      <c r="H55" s="7" t="str">
        <f>IF(F55="P1","Regular swimming, even distribution",IF(F55="P2","Fish grouped in one corner",IF(F55="P3","Rapid swimming, escape behavior",IF(F55="P4","Little movement",IF(F55="P5","Jumping out of the water",IF(F55="P6","Reaction to a tool or impact"))))))</f>
        <v>Jumping out of the water</v>
      </c>
      <c r="I55" s="6"/>
    </row>
    <row r="56" spans="1:9" x14ac:dyDescent="0.35">
      <c r="A56" s="4">
        <v>46136</v>
      </c>
      <c r="B56" s="10">
        <v>0.37847222222222199</v>
      </c>
      <c r="C56" s="10">
        <v>0.38194444444444398</v>
      </c>
      <c r="D56" s="5">
        <f>C56-B56</f>
        <v>3.4722222222219878E-3</v>
      </c>
      <c r="E56" s="6" t="s">
        <v>29</v>
      </c>
      <c r="F56" s="7" t="s">
        <v>9</v>
      </c>
      <c r="G56" s="7" t="str">
        <f>IF(F56="P1","Normal activity",IF(F56="P2","Clustering / aggregation",IF(F56="P3","Agitation",IF(F56="P4","Lethargy",IF(F56="P5","Jumping / splashing",IF(F56="P6","Reactivity to noise"))))))</f>
        <v>Normal activity</v>
      </c>
      <c r="H56" s="7" t="str">
        <f>IF(F56="P1","Regular swimming, even distribution",IF(F56="P2","Fish grouped in one corner",IF(F56="P3","Rapid swimming, escape behavior",IF(F56="P4","Little movement",IF(F56="P5","Jumping out of the water",IF(F56="P6","Reaction to a tool or impact"))))))</f>
        <v>Regular swimming, even distribution</v>
      </c>
      <c r="I56" s="6" t="s">
        <v>60</v>
      </c>
    </row>
    <row r="57" spans="1:9" x14ac:dyDescent="0.35">
      <c r="A57" s="4">
        <v>46136</v>
      </c>
      <c r="B57" s="10">
        <v>0.37847222222222199</v>
      </c>
      <c r="C57" s="10">
        <v>0.38194444444444398</v>
      </c>
      <c r="D57" s="5">
        <f>C57-B57</f>
        <v>3.4722222222219878E-3</v>
      </c>
      <c r="E57" s="6" t="s">
        <v>29</v>
      </c>
      <c r="F57" s="7" t="s">
        <v>15</v>
      </c>
      <c r="G57" s="7" t="str">
        <f>IF(F57="P1","Normal activity",IF(F57="P2","Clustering / aggregation",IF(F57="P3","Agitation",IF(F57="P4","Lethargy",IF(F57="P5","Jumping / splashing",IF(F57="P6","Reactivity to noise"))))))</f>
        <v>Agitation</v>
      </c>
      <c r="H57" s="7" t="str">
        <f>IF(F57="P1","Regular swimming, even distribution",IF(F57="P2","Fish grouped in one corner",IF(F57="P3","Rapid swimming, escape behavior",IF(F57="P4","Little movement",IF(F57="P5","Jumping out of the water",IF(F57="P6","Reaction to a tool or impact"))))))</f>
        <v>Rapid swimming, escape behavior</v>
      </c>
      <c r="I57" s="6"/>
    </row>
    <row r="58" spans="1:9" x14ac:dyDescent="0.35">
      <c r="A58" s="4">
        <v>46136</v>
      </c>
      <c r="B58" s="10">
        <v>0.37847222222222199</v>
      </c>
      <c r="C58" s="10">
        <v>0.38194444444444398</v>
      </c>
      <c r="D58" s="5">
        <f>C58-B58</f>
        <v>3.4722222222219878E-3</v>
      </c>
      <c r="E58" s="6" t="s">
        <v>31</v>
      </c>
      <c r="F58" s="7" t="s">
        <v>9</v>
      </c>
      <c r="G58" s="7" t="str">
        <f>IF(F58="P1","Normal activity",IF(F58="P2","Clustering / aggregation",IF(F58="P3","Agitation",IF(F58="P4","Lethargy",IF(F58="P5","Jumping / splashing",IF(F58="P6","Reactivity to noise"))))))</f>
        <v>Normal activity</v>
      </c>
      <c r="H58" s="7" t="str">
        <f>IF(F58="P1","Regular swimming, even distribution",IF(F58="P2","Fish grouped in one corner",IF(F58="P3","Rapid swimming, escape behavior",IF(F58="P4","Little movement",IF(F58="P5","Jumping out of the water",IF(F58="P6","Reaction to a tool or impact"))))))</f>
        <v>Regular swimming, even distribution</v>
      </c>
      <c r="I58" s="6" t="s">
        <v>61</v>
      </c>
    </row>
    <row r="59" spans="1:9" x14ac:dyDescent="0.35">
      <c r="A59" s="4">
        <v>46136</v>
      </c>
      <c r="B59" s="10">
        <v>0.37847222222222199</v>
      </c>
      <c r="C59" s="10">
        <v>0.38194444444444398</v>
      </c>
      <c r="D59" s="5">
        <f>C59-B59</f>
        <v>3.4722222222219878E-3</v>
      </c>
      <c r="E59" s="6" t="s">
        <v>31</v>
      </c>
      <c r="F59" s="7" t="s">
        <v>15</v>
      </c>
      <c r="G59" s="7" t="str">
        <f>IF(F59="P1","Normal activity",IF(F59="P2","Clustering / aggregation",IF(F59="P3","Agitation",IF(F59="P4","Lethargy",IF(F59="P5","Jumping / splashing",IF(F59="P6","Reactivity to noise"))))))</f>
        <v>Agitation</v>
      </c>
      <c r="H59" s="7" t="str">
        <f>IF(F59="P1","Regular swimming, even distribution",IF(F59="P2","Fish grouped in one corner",IF(F59="P3","Rapid swimming, escape behavior",IF(F59="P4","Little movement",IF(F59="P5","Jumping out of the water",IF(F59="P6","Reaction to a tool or impact"))))))</f>
        <v>Rapid swimming, escape behavior</v>
      </c>
      <c r="I59" s="6"/>
    </row>
    <row r="60" spans="1:9" x14ac:dyDescent="0.35">
      <c r="A60" s="4">
        <v>46138</v>
      </c>
      <c r="B60" s="10">
        <v>0.40972222222222221</v>
      </c>
      <c r="C60" s="10">
        <v>0.41666666666666669</v>
      </c>
      <c r="D60" s="5">
        <f>C60-B60</f>
        <v>6.9444444444444753E-3</v>
      </c>
      <c r="E60" s="6" t="s">
        <v>27</v>
      </c>
      <c r="F60" s="7" t="s">
        <v>9</v>
      </c>
      <c r="G60" s="7" t="str">
        <f>IF(F60="P1","Normal activity",IF(F60="P2","Clustering / aggregation",IF(F60="P3","Agitation",IF(F60="P4","Lethargy",IF(F60="P5","Jumping / splashing",IF(F60="P6","Reactivity to noise"))))))</f>
        <v>Normal activity</v>
      </c>
      <c r="H60" s="7" t="str">
        <f>IF(F60="P1","Regular swimming, even distribution",IF(F60="P2","Fish grouped in one corner",IF(F60="P3","Rapid swimming, escape behavior",IF(F60="P4","Little movement",IF(F60="P5","Jumping out of the water",IF(F60="P6","Reaction to a tool or impact"))))))</f>
        <v>Regular swimming, even distribution</v>
      </c>
      <c r="I60" s="6" t="s">
        <v>62</v>
      </c>
    </row>
    <row r="61" spans="1:9" x14ac:dyDescent="0.35">
      <c r="A61" s="4">
        <v>46138</v>
      </c>
      <c r="B61" s="10">
        <v>0.40972222222222221</v>
      </c>
      <c r="C61" s="10">
        <v>0.41666666666666669</v>
      </c>
      <c r="D61" s="5">
        <f>C61-B61</f>
        <v>6.9444444444444753E-3</v>
      </c>
      <c r="E61" s="6" t="s">
        <v>27</v>
      </c>
      <c r="F61" s="7" t="s">
        <v>15</v>
      </c>
      <c r="G61" s="7" t="str">
        <f>IF(F61="P1","Normal activity",IF(F61="P2","Clustering / aggregation",IF(F61="P3","Agitation",IF(F61="P4","Lethargy",IF(F61="P5","Jumping / splashing",IF(F61="P6","Reactivity to noise"))))))</f>
        <v>Agitation</v>
      </c>
      <c r="H61" s="7" t="str">
        <f>IF(F61="P1","Regular swimming, even distribution",IF(F61="P2","Fish grouped in one corner",IF(F61="P3","Rapid swimming, escape behavior",IF(F61="P4","Little movement",IF(F61="P5","Jumping out of the water",IF(F61="P6","Reaction to a tool or impact"))))))</f>
        <v>Rapid swimming, escape behavior</v>
      </c>
      <c r="I61" s="6"/>
    </row>
    <row r="62" spans="1:9" x14ac:dyDescent="0.35">
      <c r="A62" s="4">
        <v>46138</v>
      </c>
      <c r="B62" s="10">
        <v>0.40972222222222221</v>
      </c>
      <c r="C62" s="10">
        <v>0.41666666666666669</v>
      </c>
      <c r="D62" s="5">
        <f>C62-B62</f>
        <v>6.9444444444444753E-3</v>
      </c>
      <c r="E62" s="6" t="s">
        <v>28</v>
      </c>
      <c r="F62" s="7" t="s">
        <v>9</v>
      </c>
      <c r="G62" s="7" t="str">
        <f>IF(F62="P1","Normal activity",IF(F62="P2","Clustering / aggregation",IF(F62="P3","Agitation",IF(F62="P4","Lethargy",IF(F62="P5","Jumping / splashing",IF(F62="P6","Reactivity to noise"))))))</f>
        <v>Normal activity</v>
      </c>
      <c r="H62" s="7" t="str">
        <f>IF(F62="P1","Regular swimming, even distribution",IF(F62="P2","Fish grouped in one corner",IF(F62="P3","Rapid swimming, escape behavior",IF(F62="P4","Little movement",IF(F62="P5","Jumping out of the water",IF(F62="P6","Reaction to a tool or impact"))))))</f>
        <v>Regular swimming, even distribution</v>
      </c>
      <c r="I62" s="6" t="s">
        <v>62</v>
      </c>
    </row>
    <row r="63" spans="1:9" x14ac:dyDescent="0.35">
      <c r="A63" s="4">
        <v>46138</v>
      </c>
      <c r="B63" s="10">
        <v>0.40972222222222199</v>
      </c>
      <c r="C63" s="10">
        <v>0.41666666666666702</v>
      </c>
      <c r="D63" s="5">
        <f>C63-B63</f>
        <v>6.9444444444450304E-3</v>
      </c>
      <c r="E63" s="6" t="s">
        <v>28</v>
      </c>
      <c r="F63" s="7" t="s">
        <v>15</v>
      </c>
      <c r="G63" s="7" t="str">
        <f>IF(F63="P1","Normal activity",IF(F63="P2","Clustering / aggregation",IF(F63="P3","Agitation",IF(F63="P4","Lethargy",IF(F63="P5","Jumping / splashing",IF(F63="P6","Reactivity to noise"))))))</f>
        <v>Agitation</v>
      </c>
      <c r="H63" s="7" t="str">
        <f>IF(F63="P1","Regular swimming, even distribution",IF(F63="P2","Fish grouped in one corner",IF(F63="P3","Rapid swimming, escape behavior",IF(F63="P4","Little movement",IF(F63="P5","Jumping out of the water",IF(F63="P6","Reaction to a tool or impact"))))))</f>
        <v>Rapid swimming, escape behavior</v>
      </c>
      <c r="I63" s="6"/>
    </row>
    <row r="64" spans="1:9" x14ac:dyDescent="0.35">
      <c r="A64" s="4">
        <v>46138</v>
      </c>
      <c r="B64" s="10">
        <v>0.40972222222222199</v>
      </c>
      <c r="C64" s="10">
        <v>0.41666666666666702</v>
      </c>
      <c r="D64" s="5">
        <f>C64-B64</f>
        <v>6.9444444444450304E-3</v>
      </c>
      <c r="E64" s="6" t="s">
        <v>28</v>
      </c>
      <c r="F64" s="7" t="s">
        <v>24</v>
      </c>
      <c r="G64" s="7" t="str">
        <f>IF(F64="P1","Normal activity",IF(F64="P2","Clustering / aggregation",IF(F64="P3","Agitation",IF(F64="P4","Lethargy",IF(F64="P5","Jumping / splashing",IF(F64="P6","Reactivity to noise"))))))</f>
        <v>Reactivity to noise</v>
      </c>
      <c r="H64" s="7" t="str">
        <f>IF(F64="P1","Regular swimming, even distribution",IF(F64="P2","Fish grouped in one corner",IF(F64="P3","Rapid swimming, escape behavior",IF(F64="P4","Little movement",IF(F64="P5","Jumping out of the water",IF(F64="P6","Reaction to a tool or impact"))))))</f>
        <v>Reaction to a tool or impact</v>
      </c>
      <c r="I64" s="6"/>
    </row>
    <row r="65" spans="1:9" x14ac:dyDescent="0.35">
      <c r="A65" s="4">
        <v>46138</v>
      </c>
      <c r="B65" s="10">
        <v>0.40972222222222199</v>
      </c>
      <c r="C65" s="10">
        <v>0.41666666666666702</v>
      </c>
      <c r="D65" s="5">
        <f>C65-B65</f>
        <v>6.9444444444450304E-3</v>
      </c>
      <c r="E65" s="6" t="s">
        <v>29</v>
      </c>
      <c r="F65" s="7" t="s">
        <v>9</v>
      </c>
      <c r="G65" s="7" t="str">
        <f>IF(F65="P1","Normal activity",IF(F65="P2","Clustering / aggregation",IF(F65="P3","Agitation",IF(F65="P4","Lethargy",IF(F65="P5","Jumping / splashing",IF(F65="P6","Reactivity to noise"))))))</f>
        <v>Normal activity</v>
      </c>
      <c r="H65" s="7" t="str">
        <f>IF(F65="P1","Regular swimming, even distribution",IF(F65="P2","Fish grouped in one corner",IF(F65="P3","Rapid swimming, escape behavior",IF(F65="P4","Little movement",IF(F65="P5","Jumping out of the water",IF(F65="P6","Reaction to a tool or impact"))))))</f>
        <v>Regular swimming, even distribution</v>
      </c>
      <c r="I65" s="6" t="s">
        <v>63</v>
      </c>
    </row>
    <row r="66" spans="1:9" x14ac:dyDescent="0.35">
      <c r="A66" s="4">
        <v>46138</v>
      </c>
      <c r="B66" s="10">
        <v>0.40972222222222199</v>
      </c>
      <c r="C66" s="10">
        <v>0.41666666666666702</v>
      </c>
      <c r="D66" s="5">
        <f>C66-B66</f>
        <v>6.9444444444450304E-3</v>
      </c>
      <c r="E66" s="6" t="s">
        <v>31</v>
      </c>
      <c r="F66" s="7" t="s">
        <v>9</v>
      </c>
      <c r="G66" s="7" t="str">
        <f>IF(F66="P1","Normal activity",IF(F66="P2","Clustering / aggregation",IF(F66="P3","Agitation",IF(F66="P4","Lethargy",IF(F66="P5","Jumping / splashing",IF(F66="P6","Reactivity to noise"))))))</f>
        <v>Normal activity</v>
      </c>
      <c r="H66" s="7" t="str">
        <f>IF(F66="P1","Regular swimming, even distribution",IF(F66="P2","Fish grouped in one corner",IF(F66="P3","Rapid swimming, escape behavior",IF(F66="P4","Little movement",IF(F66="P5","Jumping out of the water",IF(F66="P6","Reaction to a tool or impact"))))))</f>
        <v>Regular swimming, even distribution</v>
      </c>
      <c r="I66" s="6" t="s">
        <v>64</v>
      </c>
    </row>
    <row r="67" spans="1:9" x14ac:dyDescent="0.35">
      <c r="A67" s="4">
        <v>46138</v>
      </c>
      <c r="B67" s="10">
        <v>0.41666666666666669</v>
      </c>
      <c r="C67" s="10">
        <v>0.4201388888888889</v>
      </c>
      <c r="D67" s="5">
        <f>C67-B67</f>
        <v>3.4722222222222099E-3</v>
      </c>
      <c r="E67" s="6" t="s">
        <v>50</v>
      </c>
      <c r="F67" s="7"/>
      <c r="G67" s="7" t="b">
        <f>IF(F67="P1","Normal activity",IF(F67="P2","Clustering / aggregation",IF(F67="P3","Agitation",IF(F67="P4","Lethargy",IF(F67="P5","Jumping / splashing",IF(F67="P6","Reactivity to noise"))))))</f>
        <v>0</v>
      </c>
      <c r="H67" s="7" t="b">
        <f>IF(F67="P1","Regular swimming, even distribution",IF(F67="P2","Fish grouped in one corner",IF(F67="P3","Rapid swimming, escape behavior",IF(F67="P4","Little movement",IF(F67="P5","Jumping out of the water",IF(F67="P6","Reaction to a tool or impact"))))))</f>
        <v>0</v>
      </c>
      <c r="I67" s="6" t="s">
        <v>51</v>
      </c>
    </row>
    <row r="68" spans="1:9" x14ac:dyDescent="0.35">
      <c r="A68" s="4">
        <v>46138</v>
      </c>
      <c r="B68" s="10">
        <v>0.4201388888888889</v>
      </c>
      <c r="C68" s="10">
        <v>0.42708333333333331</v>
      </c>
      <c r="D68" s="5">
        <f>C68-B68</f>
        <v>6.9444444444444198E-3</v>
      </c>
      <c r="E68" s="6" t="s">
        <v>27</v>
      </c>
      <c r="F68" s="7" t="s">
        <v>9</v>
      </c>
      <c r="G68" s="7" t="str">
        <f>IF(F68="P1","Normal activity",IF(F68="P2","Clustering / aggregation",IF(F68="P3","Agitation",IF(F68="P4","Lethargy",IF(F68="P5","Jumping / splashing",IF(F68="P6","Reactivity to noise"))))))</f>
        <v>Normal activity</v>
      </c>
      <c r="H68" s="7" t="str">
        <f>IF(F68="P1","Regular swimming, even distribution",IF(F68="P2","Fish grouped in one corner",IF(F68="P3","Rapid swimming, escape behavior",IF(F68="P4","Little movement",IF(F68="P5","Jumping out of the water",IF(F68="P6","Reaction to a tool or impact"))))))</f>
        <v>Regular swimming, even distribution</v>
      </c>
      <c r="I68" s="6" t="s">
        <v>65</v>
      </c>
    </row>
    <row r="69" spans="1:9" x14ac:dyDescent="0.35">
      <c r="A69" s="4">
        <v>46138</v>
      </c>
      <c r="B69" s="10">
        <v>0.4201388888888889</v>
      </c>
      <c r="C69" s="10">
        <v>0.42708333333333331</v>
      </c>
      <c r="D69" s="5">
        <f>C69-B69</f>
        <v>6.9444444444444198E-3</v>
      </c>
      <c r="E69" s="6" t="s">
        <v>28</v>
      </c>
      <c r="F69" s="7" t="s">
        <v>9</v>
      </c>
      <c r="G69" s="7" t="str">
        <f>IF(F69="P1","Normal activity",IF(F69="P2","Clustering / aggregation",IF(F69="P3","Agitation",IF(F69="P4","Lethargy",IF(F69="P5","Jumping / splashing",IF(F69="P6","Reactivity to noise"))))))</f>
        <v>Normal activity</v>
      </c>
      <c r="H69" s="7" t="str">
        <f>IF(F69="P1","Regular swimming, even distribution",IF(F69="P2","Fish grouped in one corner",IF(F69="P3","Rapid swimming, escape behavior",IF(F69="P4","Little movement",IF(F69="P5","Jumping out of the water",IF(F69="P6","Reaction to a tool or impact"))))))</f>
        <v>Regular swimming, even distribution</v>
      </c>
      <c r="I69" s="6" t="s">
        <v>66</v>
      </c>
    </row>
    <row r="70" spans="1:9" x14ac:dyDescent="0.35">
      <c r="A70" s="4">
        <v>46138</v>
      </c>
      <c r="B70" s="10">
        <v>0.42013888888888901</v>
      </c>
      <c r="C70" s="10">
        <v>0.42708333333333298</v>
      </c>
      <c r="D70" s="5">
        <f>C70-B70</f>
        <v>6.9444444444439757E-3</v>
      </c>
      <c r="E70" s="6" t="s">
        <v>29</v>
      </c>
      <c r="F70" s="7" t="s">
        <v>9</v>
      </c>
      <c r="G70" s="7" t="str">
        <f>IF(F70="P1","Normal activity",IF(F70="P2","Clustering / aggregation",IF(F70="P3","Agitation",IF(F70="P4","Lethargy",IF(F70="P5","Jumping / splashing",IF(F70="P6","Reactivity to noise"))))))</f>
        <v>Normal activity</v>
      </c>
      <c r="H70" s="7" t="str">
        <f>IF(F70="P1","Regular swimming, even distribution",IF(F70="P2","Fish grouped in one corner",IF(F70="P3","Rapid swimming, escape behavior",IF(F70="P4","Little movement",IF(F70="P5","Jumping out of the water",IF(F70="P6","Reaction to a tool or impact"))))))</f>
        <v>Regular swimming, even distribution</v>
      </c>
      <c r="I70" s="6" t="s">
        <v>67</v>
      </c>
    </row>
    <row r="71" spans="1:9" x14ac:dyDescent="0.35">
      <c r="A71" s="4">
        <v>46138</v>
      </c>
      <c r="B71" s="10">
        <v>0.42013888888888901</v>
      </c>
      <c r="C71" s="10">
        <v>0.42708333333333298</v>
      </c>
      <c r="D71" s="5">
        <f>C71-B71</f>
        <v>6.9444444444439757E-3</v>
      </c>
      <c r="E71" s="6" t="s">
        <v>31</v>
      </c>
      <c r="F71" s="7" t="s">
        <v>15</v>
      </c>
      <c r="G71" s="7" t="str">
        <f>IF(F71="P1","Normal activity",IF(F71="P2","Clustering / aggregation",IF(F71="P3","Agitation",IF(F71="P4","Lethargy",IF(F71="P5","Jumping / splashing",IF(F71="P6","Reactivity to noise"))))))</f>
        <v>Agitation</v>
      </c>
      <c r="H71" s="7" t="str">
        <f>IF(F71="P1","Regular swimming, even distribution",IF(F71="P2","Fish grouped in one corner",IF(F71="P3","Rapid swimming, escape behavior",IF(F71="P4","Little movement",IF(F71="P5","Jumping out of the water",IF(F71="P6","Reaction to a tool or impact"))))))</f>
        <v>Rapid swimming, escape behavior</v>
      </c>
      <c r="I71" s="6" t="s">
        <v>68</v>
      </c>
    </row>
    <row r="72" spans="1:9" x14ac:dyDescent="0.35">
      <c r="A72" s="4">
        <v>46138</v>
      </c>
      <c r="B72" s="10">
        <v>0.42013888888888901</v>
      </c>
      <c r="C72" s="10">
        <v>0.42708333333333298</v>
      </c>
      <c r="D72" s="5">
        <f>C72-B72</f>
        <v>6.9444444444439757E-3</v>
      </c>
      <c r="E72" s="6" t="s">
        <v>31</v>
      </c>
      <c r="F72" s="7" t="s">
        <v>21</v>
      </c>
      <c r="G72" s="7" t="str">
        <f>IF(F72="P1","Normal activity",IF(F72="P2","Clustering / aggregation",IF(F72="P3","Agitation",IF(F72="P4","Lethargy",IF(F72="P5","Jumping / splashing",IF(F72="P6","Reactivity to noise"))))))</f>
        <v>Jumping / splashing</v>
      </c>
      <c r="H72" s="7" t="str">
        <f>IF(F72="P1","Regular swimming, even distribution",IF(F72="P2","Fish grouped in one corner",IF(F72="P3","Rapid swimming, escape behavior",IF(F72="P4","Little movement",IF(F72="P5","Jumping out of the water",IF(F72="P6","Reaction to a tool or impact"))))))</f>
        <v>Jumping out of the water</v>
      </c>
      <c r="I72" s="6"/>
    </row>
    <row r="73" spans="1:9" x14ac:dyDescent="0.35">
      <c r="A73" s="4">
        <v>46138</v>
      </c>
      <c r="B73" s="10">
        <v>0.47916666666666669</v>
      </c>
      <c r="C73" s="10">
        <v>0.4861111111111111</v>
      </c>
      <c r="D73" s="5">
        <f>C73-B73</f>
        <v>6.9444444444444198E-3</v>
      </c>
      <c r="E73" s="6" t="s">
        <v>27</v>
      </c>
      <c r="F73" s="7" t="s">
        <v>9</v>
      </c>
      <c r="G73" s="7" t="str">
        <f>IF(F73="P1","Normal activity",IF(F73="P2","Clustering / aggregation",IF(F73="P3","Agitation",IF(F73="P4","Lethargy",IF(F73="P5","Jumping / splashing",IF(F73="P6","Reactivity to noise"))))))</f>
        <v>Normal activity</v>
      </c>
      <c r="H73" s="7" t="str">
        <f>IF(F73="P1","Regular swimming, even distribution",IF(F73="P2","Fish grouped in one corner",IF(F73="P3","Rapid swimming, escape behavior",IF(F73="P4","Little movement",IF(F73="P5","Jumping out of the water",IF(F73="P6","Reaction to a tool or impact"))))))</f>
        <v>Regular swimming, even distribution</v>
      </c>
      <c r="I73" s="6" t="s">
        <v>69</v>
      </c>
    </row>
    <row r="74" spans="1:9" x14ac:dyDescent="0.35">
      <c r="A74" s="4">
        <v>46138</v>
      </c>
      <c r="B74" s="10">
        <v>0.47916666666666669</v>
      </c>
      <c r="C74" s="10">
        <v>0.4861111111111111</v>
      </c>
      <c r="D74" s="5">
        <f>C74-B74</f>
        <v>6.9444444444444198E-3</v>
      </c>
      <c r="E74" s="6" t="s">
        <v>27</v>
      </c>
      <c r="F74" s="7" t="s">
        <v>12</v>
      </c>
      <c r="G74" s="7" t="str">
        <f>IF(F74="P1","Normal activity",IF(F74="P2","Clustering / aggregation",IF(F74="P3","Agitation",IF(F74="P4","Lethargy",IF(F74="P5","Jumping / splashing",IF(F74="P6","Reactivity to noise"))))))</f>
        <v>Clustering / aggregation</v>
      </c>
      <c r="H74" s="7" t="str">
        <f>IF(F74="P1","Regular swimming, even distribution",IF(F74="P2","Fish grouped in one corner",IF(F74="P3","Rapid swimming, escape behavior",IF(F74="P4","Little movement",IF(F74="P5","Jumping out of the water",IF(F74="P6","Reaction to a tool or impact"))))))</f>
        <v>Fish grouped in one corner</v>
      </c>
      <c r="I74" s="6"/>
    </row>
    <row r="75" spans="1:9" x14ac:dyDescent="0.35">
      <c r="A75" s="4">
        <v>46138</v>
      </c>
      <c r="B75" s="10">
        <v>0.47916666666666669</v>
      </c>
      <c r="C75" s="10">
        <v>0.4861111111111111</v>
      </c>
      <c r="D75" s="5">
        <f>C75-B75</f>
        <v>6.9444444444444198E-3</v>
      </c>
      <c r="E75" s="6" t="s">
        <v>28</v>
      </c>
      <c r="F75" s="7" t="s">
        <v>9</v>
      </c>
      <c r="G75" s="7" t="str">
        <f>IF(F75="P1","Normal activity",IF(F75="P2","Clustering / aggregation",IF(F75="P3","Agitation",IF(F75="P4","Lethargy",IF(F75="P5","Jumping / splashing",IF(F75="P6","Reactivity to noise"))))))</f>
        <v>Normal activity</v>
      </c>
      <c r="H75" s="7" t="str">
        <f>IF(F75="P1","Regular swimming, even distribution",IF(F75="P2","Fish grouped in one corner",IF(F75="P3","Rapid swimming, escape behavior",IF(F75="P4","Little movement",IF(F75="P5","Jumping out of the water",IF(F75="P6","Reaction to a tool or impact"))))))</f>
        <v>Regular swimming, even distribution</v>
      </c>
      <c r="I75" s="6" t="s">
        <v>70</v>
      </c>
    </row>
    <row r="76" spans="1:9" x14ac:dyDescent="0.35">
      <c r="A76" s="4">
        <v>46138</v>
      </c>
      <c r="B76" s="10">
        <v>0.47916666666666702</v>
      </c>
      <c r="C76" s="10">
        <v>0.48611111111111099</v>
      </c>
      <c r="D76" s="5">
        <f>C76-B76</f>
        <v>6.9444444444439757E-3</v>
      </c>
      <c r="E76" s="6" t="s">
        <v>29</v>
      </c>
      <c r="F76" s="7" t="s">
        <v>9</v>
      </c>
      <c r="G76" s="7" t="str">
        <f>IF(F76="P1","Normal activity",IF(F76="P2","Clustering / aggregation",IF(F76="P3","Agitation",IF(F76="P4","Lethargy",IF(F76="P5","Jumping / splashing",IF(F76="P6","Reactivity to noise"))))))</f>
        <v>Normal activity</v>
      </c>
      <c r="H76" s="7" t="str">
        <f>IF(F76="P1","Regular swimming, even distribution",IF(F76="P2","Fish grouped in one corner",IF(F76="P3","Rapid swimming, escape behavior",IF(F76="P4","Little movement",IF(F76="P5","Jumping out of the water",IF(F76="P6","Reaction to a tool or impact"))))))</f>
        <v>Regular swimming, even distribution</v>
      </c>
      <c r="I76" s="6" t="s">
        <v>70</v>
      </c>
    </row>
    <row r="77" spans="1:9" x14ac:dyDescent="0.35">
      <c r="A77" s="4">
        <v>46138</v>
      </c>
      <c r="B77" s="10">
        <v>0.47916666666666702</v>
      </c>
      <c r="C77" s="10">
        <v>0.48611111111111099</v>
      </c>
      <c r="D77" s="5">
        <f>C77-B77</f>
        <v>6.9444444444439757E-3</v>
      </c>
      <c r="E77" s="6" t="s">
        <v>31</v>
      </c>
      <c r="F77" s="7" t="s">
        <v>9</v>
      </c>
      <c r="G77" s="7" t="str">
        <f>IF(F77="P1","Normal activity",IF(F77="P2","Clustering / aggregation",IF(F77="P3","Agitation",IF(F77="P4","Lethargy",IF(F77="P5","Jumping / splashing",IF(F77="P6","Reactivity to noise"))))))</f>
        <v>Normal activity</v>
      </c>
      <c r="H77" s="7" t="str">
        <f>IF(F77="P1","Regular swimming, even distribution",IF(F77="P2","Fish grouped in one corner",IF(F77="P3","Rapid swimming, escape behavior",IF(F77="P4","Little movement",IF(F77="P5","Jumping out of the water",IF(F77="P6","Reaction to a tool or impact"))))))</f>
        <v>Regular swimming, even distribution</v>
      </c>
      <c r="I77" s="6" t="s">
        <v>70</v>
      </c>
    </row>
    <row r="78" spans="1:9" x14ac:dyDescent="0.35">
      <c r="A78" s="4">
        <v>46138</v>
      </c>
      <c r="B78" s="10">
        <v>0.4861111111111111</v>
      </c>
      <c r="C78" s="10">
        <v>0.48958333333333331</v>
      </c>
      <c r="D78" s="5">
        <f>C78-B78</f>
        <v>3.4722222222222099E-3</v>
      </c>
      <c r="E78" s="6"/>
      <c r="F78" s="7"/>
      <c r="G78" s="7" t="b">
        <f>IF(F78="P1","Normal activity",IF(F78="P2","Clustering / aggregation",IF(F78="P3","Agitation",IF(F78="P4","Lethargy",IF(F78="P5","Jumping / splashing",IF(F78="P6","Reactivity to noise"))))))</f>
        <v>0</v>
      </c>
      <c r="H78" s="7" t="b">
        <f>IF(F78="P1","Regular swimming, even distribution",IF(F78="P2","Fish grouped in one corner",IF(F78="P3","Rapid swimming, escape behavior",IF(F78="P4","Little movement",IF(F78="P5","Jumping out of the water",IF(F78="P6","Reaction to a tool or impact"))))))</f>
        <v>0</v>
      </c>
      <c r="I78" s="6" t="s">
        <v>40</v>
      </c>
    </row>
    <row r="79" spans="1:9" x14ac:dyDescent="0.35">
      <c r="A79" s="4">
        <v>46138</v>
      </c>
      <c r="B79" s="10">
        <v>0.48958333333333331</v>
      </c>
      <c r="C79" s="10">
        <v>0.49652777777777779</v>
      </c>
      <c r="D79" s="5">
        <f>C79-B79</f>
        <v>6.9444444444444753E-3</v>
      </c>
      <c r="E79" s="6" t="s">
        <v>27</v>
      </c>
      <c r="F79" s="7" t="s">
        <v>9</v>
      </c>
      <c r="G79" s="7" t="str">
        <f>IF(F79="P1","Normal activity",IF(F79="P2","Clustering / aggregation",IF(F79="P3","Agitation",IF(F79="P4","Lethargy",IF(F79="P5","Jumping / splashing",IF(F79="P6","Reactivity to noise"))))))</f>
        <v>Normal activity</v>
      </c>
      <c r="H79" s="7" t="str">
        <f>IF(F79="P1","Regular swimming, even distribution",IF(F79="P2","Fish grouped in one corner",IF(F79="P3","Rapid swimming, escape behavior",IF(F79="P4","Little movement",IF(F79="P5","Jumping out of the water",IF(F79="P6","Reaction to a tool or impact"))))))</f>
        <v>Regular swimming, even distribution</v>
      </c>
      <c r="I79" s="6" t="s">
        <v>71</v>
      </c>
    </row>
    <row r="80" spans="1:9" x14ac:dyDescent="0.35">
      <c r="A80" s="4">
        <v>46138</v>
      </c>
      <c r="B80" s="10">
        <v>0.48958333333333331</v>
      </c>
      <c r="C80" s="10">
        <v>0.49652777777777779</v>
      </c>
      <c r="D80" s="5">
        <f>C80-B80</f>
        <v>6.9444444444444753E-3</v>
      </c>
      <c r="E80" s="6" t="s">
        <v>27</v>
      </c>
      <c r="F80" s="7" t="s">
        <v>15</v>
      </c>
      <c r="G80" s="7" t="str">
        <f>IF(F80="P1","Normal activity",IF(F80="P2","Clustering / aggregation",IF(F80="P3","Agitation",IF(F80="P4","Lethargy",IF(F80="P5","Jumping / splashing",IF(F80="P6","Reactivity to noise"))))))</f>
        <v>Agitation</v>
      </c>
      <c r="H80" s="7" t="str">
        <f>IF(F80="P1","Regular swimming, even distribution",IF(F80="P2","Fish grouped in one corner",IF(F80="P3","Rapid swimming, escape behavior",IF(F80="P4","Little movement",IF(F80="P5","Jumping out of the water",IF(F80="P6","Reaction to a tool or impact"))))))</f>
        <v>Rapid swimming, escape behavior</v>
      </c>
      <c r="I80" s="6"/>
    </row>
    <row r="81" spans="1:9" x14ac:dyDescent="0.35">
      <c r="A81" s="4">
        <v>46138</v>
      </c>
      <c r="B81" s="10">
        <v>0.48958333333333331</v>
      </c>
      <c r="C81" s="10">
        <v>0.49652777777777779</v>
      </c>
      <c r="D81" s="5">
        <f>C81-B81</f>
        <v>6.9444444444444753E-3</v>
      </c>
      <c r="E81" s="6" t="s">
        <v>28</v>
      </c>
      <c r="F81" s="6" t="s">
        <v>9</v>
      </c>
      <c r="G81" s="7" t="str">
        <f>IF(F81="P1","Normal activity",IF(F81="P2","Clustering / aggregation",IF(F81="P3","Agitation",IF(F81="P4","Lethargy",IF(F81="P5","Jumping / splashing",IF(F81="P6","Reactivity to noise"))))))</f>
        <v>Normal activity</v>
      </c>
      <c r="H81" s="7" t="str">
        <f>IF(F81="P1","Regular swimming, even distribution",IF(F81="P2","Fish grouped in one corner",IF(F81="P3","Rapid swimming, escape behavior",IF(F81="P4","Little movement",IF(F81="P5","Jumping out of the water",IF(F81="P6","Reaction to a tool or impact"))))))</f>
        <v>Regular swimming, even distribution</v>
      </c>
      <c r="I81" s="6" t="s">
        <v>72</v>
      </c>
    </row>
    <row r="82" spans="1:9" x14ac:dyDescent="0.35">
      <c r="A82" s="4">
        <v>46138</v>
      </c>
      <c r="B82" s="10">
        <v>0.48958333333333298</v>
      </c>
      <c r="C82" s="10">
        <v>0.49652777777777801</v>
      </c>
      <c r="D82" s="5">
        <f>C82-B82</f>
        <v>6.9444444444450304E-3</v>
      </c>
      <c r="E82" s="6" t="s">
        <v>28</v>
      </c>
      <c r="F82" s="7" t="s">
        <v>15</v>
      </c>
      <c r="G82" s="7" t="str">
        <f>IF(F82="P1","Normal activity",IF(F82="P2","Clustering / aggregation",IF(F82="P3","Agitation",IF(F82="P4","Lethargy",IF(F82="P5","Jumping / splashing",IF(F82="P6","Reactivity to noise"))))))</f>
        <v>Agitation</v>
      </c>
      <c r="H82" s="7" t="str">
        <f>IF(F82="P1","Regular swimming, even distribution",IF(F82="P2","Fish grouped in one corner",IF(F82="P3","Rapid swimming, escape behavior",IF(F82="P4","Little movement",IF(F82="P5","Jumping out of the water",IF(F82="P6","Reaction to a tool or impact"))))))</f>
        <v>Rapid swimming, escape behavior</v>
      </c>
      <c r="I82" s="6"/>
    </row>
    <row r="83" spans="1:9" x14ac:dyDescent="0.35">
      <c r="A83" s="4">
        <v>46138</v>
      </c>
      <c r="B83" s="10">
        <v>0.48958333333333298</v>
      </c>
      <c r="C83" s="10">
        <v>0.49652777777777801</v>
      </c>
      <c r="D83" s="5">
        <f>C83-B83</f>
        <v>6.9444444444450304E-3</v>
      </c>
      <c r="E83" s="6" t="s">
        <v>29</v>
      </c>
      <c r="F83" s="7" t="s">
        <v>15</v>
      </c>
      <c r="G83" s="7" t="str">
        <f>IF(F83="P1","Normal activity",IF(F83="P2","Clustering / aggregation",IF(F83="P3","Agitation",IF(F83="P4","Lethargy",IF(F83="P5","Jumping / splashing",IF(F83="P6","Reactivity to noise"))))))</f>
        <v>Agitation</v>
      </c>
      <c r="H83" s="7" t="str">
        <f>IF(F83="P1","Regular swimming, even distribution",IF(F83="P2","Fish grouped in one corner",IF(F83="P3","Rapid swimming, escape behavior",IF(F83="P4","Little movement",IF(F83="P5","Jumping out of the water",IF(F83="P6","Reaction to a tool or impact"))))))</f>
        <v>Rapid swimming, escape behavior</v>
      </c>
      <c r="I83" s="6" t="s">
        <v>73</v>
      </c>
    </row>
    <row r="84" spans="1:9" x14ac:dyDescent="0.35">
      <c r="A84" s="4">
        <v>46138</v>
      </c>
      <c r="B84" s="10">
        <v>0.48958333333333298</v>
      </c>
      <c r="C84" s="10">
        <v>0.49652777777777801</v>
      </c>
      <c r="D84" s="5">
        <f>C84-B84</f>
        <v>6.9444444444450304E-3</v>
      </c>
      <c r="E84" s="6" t="s">
        <v>31</v>
      </c>
      <c r="F84" s="7" t="s">
        <v>15</v>
      </c>
      <c r="G84" s="7" t="str">
        <f>IF(F84="P1","Normal activity",IF(F84="P2","Clustering / aggregation",IF(F84="P3","Agitation",IF(F84="P4","Lethargy",IF(F84="P5","Jumping / splashing",IF(F84="P6","Reactivity to noise"))))))</f>
        <v>Agitation</v>
      </c>
      <c r="H84" s="7" t="str">
        <f>IF(F84="P1","Regular swimming, even distribution",IF(F84="P2","Fish grouped in one corner",IF(F84="P3","Rapid swimming, escape behavior",IF(F84="P4","Little movement",IF(F84="P5","Jumping out of the water",IF(F84="P6","Reaction to a tool or impact"))))))</f>
        <v>Rapid swimming, escape behavior</v>
      </c>
      <c r="I84" s="6" t="s">
        <v>74</v>
      </c>
    </row>
    <row r="85" spans="1:9" x14ac:dyDescent="0.35">
      <c r="A85" s="4">
        <v>46138</v>
      </c>
      <c r="B85" s="10">
        <v>0.39583333333333331</v>
      </c>
      <c r="C85" s="10">
        <v>0.40277777777777779</v>
      </c>
      <c r="D85" s="5">
        <f>C85-B85</f>
        <v>6.9444444444444753E-3</v>
      </c>
      <c r="E85" s="6" t="s">
        <v>27</v>
      </c>
      <c r="F85" s="7" t="s">
        <v>9</v>
      </c>
      <c r="G85" s="7" t="str">
        <f>IF(F85="P1","Normal activity",IF(F85="P2","Clustering / aggregation",IF(F85="P3","Agitation",IF(F85="P4","Lethargy",IF(F85="P5","Jumping / splashing",IF(F85="P6","Reactivity to noise"))))))</f>
        <v>Normal activity</v>
      </c>
      <c r="H85" s="7" t="str">
        <f>IF(F85="P1","Regular swimming, even distribution",IF(F85="P2","Fish grouped in one corner",IF(F85="P3","Rapid swimming, escape behavior",IF(F85="P4","Little movement",IF(F85="P5","Jumping out of the water",IF(F85="P6","Reaction to a tool or impact"))))))</f>
        <v>Regular swimming, even distribution</v>
      </c>
      <c r="I85" s="6"/>
    </row>
    <row r="86" spans="1:9" x14ac:dyDescent="0.35">
      <c r="A86" s="4">
        <v>46138</v>
      </c>
      <c r="B86" s="10">
        <v>0.39583333333333331</v>
      </c>
      <c r="C86" s="10">
        <v>0.40277777777777779</v>
      </c>
      <c r="D86" s="5">
        <f>C86-B86</f>
        <v>6.9444444444444753E-3</v>
      </c>
      <c r="E86" s="6" t="s">
        <v>27</v>
      </c>
      <c r="F86" s="7" t="s">
        <v>12</v>
      </c>
      <c r="G86" s="7" t="str">
        <f>IF(F86="P1","Normal activity",IF(F86="P2","Clustering / aggregation",IF(F86="P3","Agitation",IF(F86="P4","Lethargy",IF(F86="P5","Jumping / splashing",IF(F86="P6","Reactivity to noise"))))))</f>
        <v>Clustering / aggregation</v>
      </c>
      <c r="H86" s="7" t="str">
        <f>IF(F86="P1","Regular swimming, even distribution",IF(F86="P2","Fish grouped in one corner",IF(F86="P3","Rapid swimming, escape behavior",IF(F86="P4","Little movement",IF(F86="P5","Jumping out of the water",IF(F86="P6","Reaction to a tool or impact"))))))</f>
        <v>Fish grouped in one corner</v>
      </c>
      <c r="I86" s="6"/>
    </row>
    <row r="87" spans="1:9" x14ac:dyDescent="0.35">
      <c r="A87" s="4">
        <v>46138</v>
      </c>
      <c r="B87" s="10">
        <v>0.54861111111111116</v>
      </c>
      <c r="C87" s="10">
        <v>0.55555555555555558</v>
      </c>
      <c r="D87" s="5">
        <f>C87-B87</f>
        <v>6.9444444444444198E-3</v>
      </c>
      <c r="E87" s="6" t="s">
        <v>28</v>
      </c>
      <c r="F87" s="7" t="s">
        <v>9</v>
      </c>
      <c r="G87" s="7" t="str">
        <f>IF(F87="P1","Normal activity",IF(F87="P2","Clustering / aggregation",IF(F87="P3","Agitation",IF(F87="P4","Lethargy",IF(F87="P5","Jumping / splashing",IF(F87="P6","Reactivity to noise"))))))</f>
        <v>Normal activity</v>
      </c>
      <c r="H87" s="7" t="str">
        <f>IF(F87="P1","Regular swimming, even distribution",IF(F87="P2","Fish grouped in one corner",IF(F87="P3","Rapid swimming, escape behavior",IF(F87="P4","Little movement",IF(F87="P5","Jumping out of the water",IF(F87="P6","Reaction to a tool or impact"))))))</f>
        <v>Regular swimming, even distribution</v>
      </c>
      <c r="I87" s="6" t="s">
        <v>75</v>
      </c>
    </row>
    <row r="88" spans="1:9" x14ac:dyDescent="0.35">
      <c r="A88" s="4">
        <v>46138</v>
      </c>
      <c r="B88" s="10">
        <v>0.54861111111111116</v>
      </c>
      <c r="C88" s="10">
        <v>0.55555555555555558</v>
      </c>
      <c r="D88" s="5">
        <f>C88-B88</f>
        <v>6.9444444444444198E-3</v>
      </c>
      <c r="E88" s="6" t="s">
        <v>28</v>
      </c>
      <c r="F88" s="7" t="s">
        <v>12</v>
      </c>
      <c r="G88" s="7" t="str">
        <f>IF(F88="P1","Normal activity",IF(F88="P2","Clustering / aggregation",IF(F88="P3","Agitation",IF(F88="P4","Lethargy",IF(F88="P5","Jumping / splashing",IF(F88="P6","Reactivity to noise"))))))</f>
        <v>Clustering / aggregation</v>
      </c>
      <c r="H88" s="7" t="str">
        <f>IF(F88="P1","Regular swimming, even distribution",IF(F88="P2","Fish grouped in one corner",IF(F88="P3","Rapid swimming, escape behavior",IF(F88="P4","Little movement",IF(F88="P5","Jumping out of the water",IF(F88="P6","Reaction to a tool or impact"))))))</f>
        <v>Fish grouped in one corner</v>
      </c>
      <c r="I88" s="6"/>
    </row>
    <row r="89" spans="1:9" x14ac:dyDescent="0.35">
      <c r="A89" s="4">
        <v>46138</v>
      </c>
      <c r="B89" s="10">
        <v>0.54861111111111116</v>
      </c>
      <c r="C89" s="10">
        <v>0.55555555555555558</v>
      </c>
      <c r="D89" s="5">
        <f>C89-B89</f>
        <v>6.9444444444444198E-3</v>
      </c>
      <c r="E89" s="6" t="s">
        <v>28</v>
      </c>
      <c r="F89" s="7" t="s">
        <v>9</v>
      </c>
      <c r="G89" s="7" t="str">
        <f>IF(F89="P1","Normal activity",IF(F89="P2","Clustering / aggregation",IF(F89="P3","Agitation",IF(F89="P4","Lethargy",IF(F89="P5","Jumping / splashing",IF(F89="P6","Reactivity to noise"))))))</f>
        <v>Normal activity</v>
      </c>
      <c r="H89" s="7" t="str">
        <f>IF(F89="P1","Regular swimming, even distribution",IF(F89="P2","Fish grouped in one corner",IF(F89="P3","Rapid swimming, escape behavior",IF(F89="P4","Little movement",IF(F89="P5","Jumping out of the water",IF(F89="P6","Reaction to a tool or impact"))))))</f>
        <v>Regular swimming, even distribution</v>
      </c>
      <c r="I89" s="6" t="s">
        <v>76</v>
      </c>
    </row>
    <row r="90" spans="1:9" x14ac:dyDescent="0.35">
      <c r="A90" s="4">
        <v>46138</v>
      </c>
      <c r="B90" s="10">
        <v>0.54861111111111116</v>
      </c>
      <c r="C90" s="10">
        <v>0.55555555555555558</v>
      </c>
      <c r="D90" s="5">
        <f>C90-B90</f>
        <v>6.9444444444444198E-3</v>
      </c>
      <c r="E90" s="6" t="s">
        <v>29</v>
      </c>
      <c r="F90" s="7" t="s">
        <v>9</v>
      </c>
      <c r="G90" s="7" t="str">
        <f>IF(F90="P1","Normal activity",IF(F90="P2","Clustering / aggregation",IF(F90="P3","Agitation",IF(F90="P4","Lethargy",IF(F90="P5","Jumping / splashing",IF(F90="P6","Reactivity to noise"))))))</f>
        <v>Normal activity</v>
      </c>
      <c r="H90" s="7" t="str">
        <f>IF(F90="P1","Regular swimming, even distribution",IF(F90="P2","Fish grouped in one corner",IF(F90="P3","Rapid swimming, escape behavior",IF(F90="P4","Little movement",IF(F90="P5","Jumping out of the water",IF(F90="P6","Reaction to a tool or impact"))))))</f>
        <v>Regular swimming, even distribution</v>
      </c>
      <c r="I90" s="6" t="s">
        <v>76</v>
      </c>
    </row>
    <row r="91" spans="1:9" x14ac:dyDescent="0.35">
      <c r="A91" s="4">
        <v>46138</v>
      </c>
      <c r="B91" s="10">
        <v>0.54861111111111116</v>
      </c>
      <c r="C91" s="10">
        <v>0.55555555555555558</v>
      </c>
      <c r="D91" s="5">
        <f>C91-B91</f>
        <v>6.9444444444444198E-3</v>
      </c>
      <c r="E91" s="6" t="s">
        <v>31</v>
      </c>
      <c r="F91" s="7" t="s">
        <v>9</v>
      </c>
      <c r="G91" s="7" t="str">
        <f>IF(F91="P1","Normal activity",IF(F91="P2","Clustering / aggregation",IF(F91="P3","Agitation",IF(F91="P4","Lethargy",IF(F91="P5","Jumping / splashing",IF(F91="P6","Reactivity to noise"))))))</f>
        <v>Normal activity</v>
      </c>
      <c r="H91" s="7" t="str">
        <f>IF(F91="P1","Regular swimming, even distribution",IF(F91="P2","Fish grouped in one corner",IF(F91="P3","Rapid swimming, escape behavior",IF(F91="P4","Little movement",IF(F91="P5","Jumping out of the water",IF(F91="P6","Reaction to a tool or impact"))))))</f>
        <v>Regular swimming, even distribution</v>
      </c>
      <c r="I91" s="6" t="s">
        <v>70</v>
      </c>
    </row>
    <row r="92" spans="1:9" x14ac:dyDescent="0.35">
      <c r="A92" s="4">
        <v>46138</v>
      </c>
      <c r="B92" s="10">
        <v>0.55555555555555558</v>
      </c>
      <c r="C92" s="10">
        <v>0.55902777777777779</v>
      </c>
      <c r="D92" s="5">
        <f>C92-B92</f>
        <v>3.4722222222222099E-3</v>
      </c>
      <c r="E92" s="6"/>
      <c r="F92" s="7"/>
      <c r="G92" s="7" t="b">
        <f>IF(F92="P1","Normal activity",IF(F92="P2","Clustering / aggregation",IF(F92="P3","Agitation",IF(F92="P4","Lethargy",IF(F92="P5","Jumping / splashing",IF(F92="P6","Reactivity to noise"))))))</f>
        <v>0</v>
      </c>
      <c r="H92" s="7" t="b">
        <f>IF(F92="P1","Regular swimming, even distribution",IF(F92="P2","Fish grouped in one corner",IF(F92="P3","Rapid swimming, escape behavior",IF(F92="P4","Little movement",IF(F92="P5","Jumping out of the water",IF(F92="P6","Reaction to a tool or impact"))))))</f>
        <v>0</v>
      </c>
      <c r="I92" s="6" t="s">
        <v>40</v>
      </c>
    </row>
    <row r="93" spans="1:9" x14ac:dyDescent="0.35">
      <c r="A93" s="4">
        <v>46138</v>
      </c>
      <c r="B93" s="10">
        <v>0.55902777777777779</v>
      </c>
      <c r="C93" s="10">
        <v>0.56597222222222221</v>
      </c>
      <c r="D93" s="5">
        <f>C93-B93</f>
        <v>6.9444444444444198E-3</v>
      </c>
      <c r="E93" s="6" t="s">
        <v>27</v>
      </c>
      <c r="F93" s="7" t="s">
        <v>15</v>
      </c>
      <c r="G93" s="7" t="str">
        <f>IF(F93="P1","Normal activity",IF(F93="P2","Clustering / aggregation",IF(F93="P3","Agitation",IF(F93="P4","Lethargy",IF(F93="P5","Jumping / splashing",IF(F93="P6","Reactivity to noise"))))))</f>
        <v>Agitation</v>
      </c>
      <c r="H93" s="7" t="str">
        <f>IF(F93="P1","Regular swimming, even distribution",IF(F93="P2","Fish grouped in one corner",IF(F93="P3","Rapid swimming, escape behavior",IF(F93="P4","Little movement",IF(F93="P5","Jumping out of the water",IF(F93="P6","Reaction to a tool or impact"))))))</f>
        <v>Rapid swimming, escape behavior</v>
      </c>
      <c r="I93" s="6" t="s">
        <v>77</v>
      </c>
    </row>
    <row r="94" spans="1:9" x14ac:dyDescent="0.35">
      <c r="A94" s="4">
        <v>46138</v>
      </c>
      <c r="B94" s="10">
        <v>0.55902777777777779</v>
      </c>
      <c r="C94" s="10">
        <v>0.56597222222222221</v>
      </c>
      <c r="D94" s="5">
        <f>C94-B94</f>
        <v>6.9444444444444198E-3</v>
      </c>
      <c r="E94" s="6" t="s">
        <v>28</v>
      </c>
      <c r="F94" s="7" t="s">
        <v>15</v>
      </c>
      <c r="G94" s="7" t="str">
        <f>IF(F94="P1","Normal activity",IF(F94="P2","Clustering / aggregation",IF(F94="P3","Agitation",IF(F94="P4","Lethargy",IF(F94="P5","Jumping / splashing",IF(F94="P6","Reactivity to noise"))))))</f>
        <v>Agitation</v>
      </c>
      <c r="H94" s="7" t="str">
        <f>IF(F94="P1","Regular swimming, even distribution",IF(F94="P2","Fish grouped in one corner",IF(F94="P3","Rapid swimming, escape behavior",IF(F94="P4","Little movement",IF(F94="P5","Jumping out of the water",IF(F94="P6","Reaction to a tool or impact"))))))</f>
        <v>Rapid swimming, escape behavior</v>
      </c>
      <c r="I94" s="6" t="s">
        <v>78</v>
      </c>
    </row>
    <row r="95" spans="1:9" x14ac:dyDescent="0.35">
      <c r="A95" s="4">
        <v>46138</v>
      </c>
      <c r="B95" s="10">
        <v>0.55902777777777779</v>
      </c>
      <c r="C95" s="10">
        <v>0.56597222222222221</v>
      </c>
      <c r="D95" s="5">
        <f>C95-B95</f>
        <v>6.9444444444444198E-3</v>
      </c>
      <c r="E95" s="6" t="s">
        <v>29</v>
      </c>
      <c r="F95" s="7" t="s">
        <v>15</v>
      </c>
      <c r="G95" s="7" t="str">
        <f>IF(F95="P1","Normal activity",IF(F95="P2","Clustering / aggregation",IF(F95="P3","Agitation",IF(F95="P4","Lethargy",IF(F95="P5","Jumping / splashing",IF(F95="P6","Reactivity to noise"))))))</f>
        <v>Agitation</v>
      </c>
      <c r="H95" s="7" t="str">
        <f>IF(F95="P1","Regular swimming, even distribution",IF(F95="P2","Fish grouped in one corner",IF(F95="P3","Rapid swimming, escape behavior",IF(F95="P4","Little movement",IF(F95="P5","Jumping out of the water",IF(F95="P6","Reaction to a tool or impact"))))))</f>
        <v>Rapid swimming, escape behavior</v>
      </c>
      <c r="I95" s="6" t="s">
        <v>79</v>
      </c>
    </row>
    <row r="96" spans="1:9" x14ac:dyDescent="0.35">
      <c r="A96" s="4">
        <v>46138</v>
      </c>
      <c r="B96" s="10">
        <v>0.55902777777777801</v>
      </c>
      <c r="C96" s="10">
        <v>0.56597222222222199</v>
      </c>
      <c r="D96" s="5">
        <f>C96-B96</f>
        <v>6.9444444444439757E-3</v>
      </c>
      <c r="E96" s="6" t="s">
        <v>29</v>
      </c>
      <c r="F96" s="7" t="s">
        <v>21</v>
      </c>
      <c r="G96" s="7" t="str">
        <f>IF(F96="P1","Normal activity",IF(F96="P2","Clustering / aggregation",IF(F96="P3","Agitation",IF(F96="P4","Lethargy",IF(F96="P5","Jumping / splashing",IF(F96="P6","Reactivity to noise"))))))</f>
        <v>Jumping / splashing</v>
      </c>
      <c r="H96" s="7" t="str">
        <f>IF(F96="P1","Regular swimming, even distribution",IF(F96="P2","Fish grouped in one corner",IF(F96="P3","Rapid swimming, escape behavior",IF(F96="P4","Little movement",IF(F96="P5","Jumping out of the water",IF(F96="P6","Reaction to a tool or impact"))))))</f>
        <v>Jumping out of the water</v>
      </c>
      <c r="I96" s="6"/>
    </row>
    <row r="97" spans="1:9" x14ac:dyDescent="0.35">
      <c r="A97" s="4">
        <v>46138</v>
      </c>
      <c r="B97" s="10">
        <v>0.55902777777777779</v>
      </c>
      <c r="C97" s="10">
        <v>0.56597222222222221</v>
      </c>
      <c r="D97" s="5">
        <f>C97-B97</f>
        <v>6.9444444444444198E-3</v>
      </c>
      <c r="E97" s="6" t="s">
        <v>31</v>
      </c>
      <c r="F97" s="7" t="s">
        <v>15</v>
      </c>
      <c r="G97" s="7" t="str">
        <f>IF(F97="P1","Normal activity",IF(F97="P2","Clustering / aggregation",IF(F97="P3","Agitation",IF(F97="P4","Lethargy",IF(F97="P5","Jumping / splashing",IF(F97="P6","Reactivity to noise"))))))</f>
        <v>Agitation</v>
      </c>
      <c r="H97" s="7" t="str">
        <f>IF(F97="P1","Regular swimming, even distribution",IF(F97="P2","Fish grouped in one corner",IF(F97="P3","Rapid swimming, escape behavior",IF(F97="P4","Little movement",IF(F97="P5","Jumping out of the water",IF(F97="P6","Reaction to a tool or impact"))))))</f>
        <v>Rapid swimming, escape behavior</v>
      </c>
      <c r="I97" s="6" t="s">
        <v>80</v>
      </c>
    </row>
    <row r="98" spans="1:9" x14ac:dyDescent="0.35">
      <c r="A98" s="4">
        <v>46138</v>
      </c>
      <c r="B98" s="10">
        <v>0.55902777777777801</v>
      </c>
      <c r="C98" s="10">
        <v>0.56597222222222199</v>
      </c>
      <c r="D98" s="5">
        <f>C98-B98</f>
        <v>6.9444444444439757E-3</v>
      </c>
      <c r="E98" s="6" t="s">
        <v>31</v>
      </c>
      <c r="F98" s="7" t="s">
        <v>21</v>
      </c>
      <c r="G98" s="7" t="str">
        <f>IF(F98="P1","Normal activity",IF(F98="P2","Clustering / aggregation",IF(F98="P3","Agitation",IF(F98="P4","Lethargy",IF(F98="P5","Jumping / splashing",IF(F98="P6","Reactivity to noise"))))))</f>
        <v>Jumping / splashing</v>
      </c>
      <c r="H98" s="7" t="str">
        <f>IF(F98="P1","Regular swimming, even distribution",IF(F98="P2","Fish grouped in one corner",IF(F98="P3","Rapid swimming, escape behavior",IF(F98="P4","Little movement",IF(F98="P5","Jumping out of the water",IF(F98="P6","Reaction to a tool or impact"))))))</f>
        <v>Jumping out of the water</v>
      </c>
      <c r="I98" s="6"/>
    </row>
    <row r="99" spans="1:9" x14ac:dyDescent="0.35">
      <c r="A99" s="4">
        <v>46138</v>
      </c>
      <c r="B99" s="6"/>
      <c r="C99" s="6"/>
      <c r="D99" s="5">
        <f>C99-B99</f>
        <v>0</v>
      </c>
      <c r="E99" s="6"/>
      <c r="F99" s="7"/>
      <c r="G99" s="7" t="b">
        <f>IF(F99="P1","Normal activity",IF(F99="P2","Clustering / aggregation",IF(F99="P3","Agitation",IF(F99="P4","Lethargy",IF(F99="P5","Jumping / splashing",IF(F99="P6","Reactivity to noise"))))))</f>
        <v>0</v>
      </c>
      <c r="H99" s="7" t="b">
        <f>IF(F99="P1","Regular swimming, even distribution",IF(F99="P2","Fish grouped in one corner",IF(F99="P3","Rapid swimming, escape behavior",IF(F99="P4","Little movement",IF(F99="P5","Jumping out of the water",IF(F99="P6","Reaction to a tool or impact"))))))</f>
        <v>0</v>
      </c>
      <c r="I99" s="6"/>
    </row>
    <row r="100" spans="1:9" x14ac:dyDescent="0.35">
      <c r="A100" s="4">
        <v>46138</v>
      </c>
      <c r="B100" s="10">
        <v>0.61805555555555558</v>
      </c>
      <c r="C100" s="10">
        <v>0.625</v>
      </c>
      <c r="D100" s="5">
        <f>C100-B100</f>
        <v>6.9444444444444198E-3</v>
      </c>
      <c r="E100" s="6" t="s">
        <v>27</v>
      </c>
      <c r="F100" s="7" t="s">
        <v>9</v>
      </c>
      <c r="G100" s="7" t="str">
        <f>IF(F100="P1","Normal activity",IF(F100="P2","Clustering / aggregation",IF(F100="P3","Agitation",IF(F100="P4","Lethargy",IF(F100="P5","Jumping / splashing",IF(F100="P6","Reactivity to noise"))))))</f>
        <v>Normal activity</v>
      </c>
      <c r="H100" s="7" t="str">
        <f>IF(F100="P1","Regular swimming, even distribution",IF(F100="P2","Fish grouped in one corner",IF(F100="P3","Rapid swimming, escape behavior",IF(F100="P4","Little movement",IF(F100="P5","Jumping out of the water",IF(F100="P6","Reaction to a tool or impact"))))))</f>
        <v>Regular swimming, even distribution</v>
      </c>
      <c r="I100" s="6" t="s">
        <v>81</v>
      </c>
    </row>
    <row r="101" spans="1:9" x14ac:dyDescent="0.35">
      <c r="A101" s="4">
        <v>46138</v>
      </c>
      <c r="B101" s="10">
        <v>0.61805555555555558</v>
      </c>
      <c r="C101" s="10">
        <v>0.625</v>
      </c>
      <c r="D101" s="5">
        <f>C101-B101</f>
        <v>6.9444444444444198E-3</v>
      </c>
      <c r="E101" s="6" t="s">
        <v>28</v>
      </c>
      <c r="F101" s="7" t="s">
        <v>9</v>
      </c>
      <c r="G101" s="7" t="str">
        <f>IF(F101="P1","Normal activity",IF(F101="P2","Clustering / aggregation",IF(F101="P3","Agitation",IF(F101="P4","Lethargy",IF(F101="P5","Jumping / splashing",IF(F101="P6","Reactivity to noise"))))))</f>
        <v>Normal activity</v>
      </c>
      <c r="H101" s="7" t="str">
        <f>IF(F101="P1","Regular swimming, even distribution",IF(F101="P2","Fish grouped in one corner",IF(F101="P3","Rapid swimming, escape behavior",IF(F101="P4","Little movement",IF(F101="P5","Jumping out of the water",IF(F101="P6","Reaction to a tool or impact"))))))</f>
        <v>Regular swimming, even distribution</v>
      </c>
      <c r="I101" s="6" t="s">
        <v>82</v>
      </c>
    </row>
    <row r="102" spans="1:9" x14ac:dyDescent="0.35">
      <c r="A102" s="4">
        <v>46138</v>
      </c>
      <c r="B102" s="10">
        <v>0.61805555555555558</v>
      </c>
      <c r="C102" s="10">
        <v>0.625</v>
      </c>
      <c r="D102" s="5">
        <f>C102-B102</f>
        <v>6.9444444444444198E-3</v>
      </c>
      <c r="E102" s="6" t="s">
        <v>29</v>
      </c>
      <c r="F102" s="7" t="s">
        <v>9</v>
      </c>
      <c r="G102" s="7" t="str">
        <f>IF(F102="P1","Normal activity",IF(F102="P2","Clustering / aggregation",IF(F102="P3","Agitation",IF(F102="P4","Lethargy",IF(F102="P5","Jumping / splashing",IF(F102="P6","Reactivity to noise"))))))</f>
        <v>Normal activity</v>
      </c>
      <c r="H102" s="7" t="str">
        <f>IF(F102="P1","Regular swimming, even distribution",IF(F102="P2","Fish grouped in one corner",IF(F102="P3","Rapid swimming, escape behavior",IF(F102="P4","Little movement",IF(F102="P5","Jumping out of the water",IF(F102="P6","Reaction to a tool or impact"))))))</f>
        <v>Regular swimming, even distribution</v>
      </c>
      <c r="I102" s="6" t="s">
        <v>83</v>
      </c>
    </row>
    <row r="103" spans="1:9" x14ac:dyDescent="0.35">
      <c r="A103" s="4">
        <v>46138</v>
      </c>
      <c r="B103" s="10">
        <v>0.61805555555555558</v>
      </c>
      <c r="C103" s="10">
        <v>0.625</v>
      </c>
      <c r="D103" s="5">
        <f>C103-B103</f>
        <v>6.9444444444444198E-3</v>
      </c>
      <c r="E103" s="6" t="s">
        <v>31</v>
      </c>
      <c r="F103" s="7" t="s">
        <v>9</v>
      </c>
      <c r="G103" s="7" t="str">
        <f>IF(F103="P1","Normal activity",IF(F103="P2","Clustering / aggregation",IF(F103="P3","Agitation",IF(F103="P4","Lethargy",IF(F103="P5","Jumping / splashing",IF(F103="P6","Reactivity to noise"))))))</f>
        <v>Normal activity</v>
      </c>
      <c r="H103" s="7" t="str">
        <f>IF(F103="P1","Regular swimming, even distribution",IF(F103="P2","Fish grouped in one corner",IF(F103="P3","Rapid swimming, escape behavior",IF(F103="P4","Little movement",IF(F103="P5","Jumping out of the water",IF(F103="P6","Reaction to a tool or impact"))))))</f>
        <v>Regular swimming, even distribution</v>
      </c>
      <c r="I103" s="6" t="s">
        <v>83</v>
      </c>
    </row>
    <row r="104" spans="1:9" x14ac:dyDescent="0.35">
      <c r="A104" s="4">
        <v>46138</v>
      </c>
      <c r="B104" s="6"/>
      <c r="C104" s="6"/>
      <c r="D104" s="5">
        <f>C104-B104</f>
        <v>0</v>
      </c>
      <c r="E104" s="6"/>
      <c r="F104" s="7"/>
      <c r="G104" s="7" t="b">
        <f>IF(F104="P1","Normal activity",IF(F104="P2","Clustering / aggregation",IF(F104="P3","Agitation",IF(F104="P4","Lethargy",IF(F104="P5","Jumping / splashing",IF(F104="P6","Reactivity to noise"))))))</f>
        <v>0</v>
      </c>
      <c r="H104" s="7" t="b">
        <f>IF(F104="P1","Regular swimming, even distribution",IF(F104="P2","Fish grouped in one corner",IF(F104="P3","Rapid swimming, escape behavior",IF(F104="P4","Little movement",IF(F104="P5","Jumping out of the water",IF(F104="P6","Reaction to a tool or impact"))))))</f>
        <v>0</v>
      </c>
      <c r="I104" s="6"/>
    </row>
    <row r="105" spans="1:9" x14ac:dyDescent="0.35">
      <c r="A105" s="4">
        <v>46138</v>
      </c>
      <c r="B105" s="10">
        <v>0.62847222222222221</v>
      </c>
      <c r="C105" s="10">
        <v>0.63541666666666663</v>
      </c>
      <c r="D105" s="5">
        <f>C105-B105</f>
        <v>6.9444444444444198E-3</v>
      </c>
      <c r="E105" s="6" t="s">
        <v>27</v>
      </c>
      <c r="F105" s="7" t="s">
        <v>9</v>
      </c>
      <c r="G105" s="7" t="str">
        <f>IF(F105="P1","Normal activity",IF(F105="P2","Clustering / aggregation",IF(F105="P3","Agitation",IF(F105="P4","Lethargy",IF(F105="P5","Jumping / splashing",IF(F105="P6","Reactivity to noise"))))))</f>
        <v>Normal activity</v>
      </c>
      <c r="H105" s="7" t="str">
        <f>IF(F105="P1","Regular swimming, even distribution",IF(F105="P2","Fish grouped in one corner",IF(F105="P3","Rapid swimming, escape behavior",IF(F105="P4","Little movement",IF(F105="P5","Jumping out of the water",IF(F105="P6","Reaction to a tool or impact"))))))</f>
        <v>Regular swimming, even distribution</v>
      </c>
      <c r="I105" s="6" t="s">
        <v>84</v>
      </c>
    </row>
    <row r="106" spans="1:9" x14ac:dyDescent="0.35">
      <c r="A106" s="4">
        <v>46138</v>
      </c>
      <c r="B106" s="10">
        <v>0.62847222222222221</v>
      </c>
      <c r="C106" s="10">
        <v>0.63541666666666663</v>
      </c>
      <c r="D106" s="5">
        <f>C106-B106</f>
        <v>6.9444444444444198E-3</v>
      </c>
      <c r="E106" s="6" t="s">
        <v>27</v>
      </c>
      <c r="F106" s="7" t="s">
        <v>15</v>
      </c>
      <c r="G106" s="7" t="str">
        <f>IF(F106="P1","Normal activity",IF(F106="P2","Clustering / aggregation",IF(F106="P3","Agitation",IF(F106="P4","Lethargy",IF(F106="P5","Jumping / splashing",IF(F106="P6","Reactivity to noise"))))))</f>
        <v>Agitation</v>
      </c>
      <c r="H106" s="7" t="str">
        <f>IF(F106="P1","Regular swimming, even distribution",IF(F106="P2","Fish grouped in one corner",IF(F106="P3","Rapid swimming, escape behavior",IF(F106="P4","Little movement",IF(F106="P5","Jumping out of the water",IF(F106="P6","Reaction to a tool or impact"))))))</f>
        <v>Rapid swimming, escape behavior</v>
      </c>
      <c r="I106" s="6"/>
    </row>
    <row r="107" spans="1:9" x14ac:dyDescent="0.35">
      <c r="A107" s="4">
        <v>46138</v>
      </c>
      <c r="B107" s="10">
        <v>0.62847222222222221</v>
      </c>
      <c r="C107" s="10">
        <v>0.63541666666666663</v>
      </c>
      <c r="D107" s="5">
        <f>C107-B107</f>
        <v>6.9444444444444198E-3</v>
      </c>
      <c r="E107" s="6" t="s">
        <v>28</v>
      </c>
      <c r="F107" s="7" t="s">
        <v>9</v>
      </c>
      <c r="G107" s="7" t="str">
        <f>IF(F107="P1","Normal activity",IF(F107="P2","Clustering / aggregation",IF(F107="P3","Agitation",IF(F107="P4","Lethargy",IF(F107="P5","Jumping / splashing",IF(F107="P6","Reactivity to noise"))))))</f>
        <v>Normal activity</v>
      </c>
      <c r="H107" s="7" t="str">
        <f>IF(F107="P1","Regular swimming, even distribution",IF(F107="P2","Fish grouped in one corner",IF(F107="P3","Rapid swimming, escape behavior",IF(F107="P4","Little movement",IF(F107="P5","Jumping out of the water",IF(F107="P6","Reaction to a tool or impact"))))))</f>
        <v>Regular swimming, even distribution</v>
      </c>
      <c r="I107" s="6" t="s">
        <v>85</v>
      </c>
    </row>
    <row r="108" spans="1:9" x14ac:dyDescent="0.35">
      <c r="A108" s="4">
        <v>46138</v>
      </c>
      <c r="B108" s="10">
        <v>0.62847222222222221</v>
      </c>
      <c r="C108" s="10">
        <v>0.63541666666666663</v>
      </c>
      <c r="D108" s="5">
        <f>C108-B108</f>
        <v>6.9444444444444198E-3</v>
      </c>
      <c r="E108" s="6" t="s">
        <v>28</v>
      </c>
      <c r="F108" s="7" t="s">
        <v>15</v>
      </c>
      <c r="G108" s="7" t="str">
        <f>IF(F108="P1","Normal activity",IF(F108="P2","Clustering / aggregation",IF(F108="P3","Agitation",IF(F108="P4","Lethargy",IF(F108="P5","Jumping / splashing",IF(F108="P6","Reactivity to noise"))))))</f>
        <v>Agitation</v>
      </c>
      <c r="H108" s="7" t="str">
        <f>IF(F108="P1","Regular swimming, even distribution",IF(F108="P2","Fish grouped in one corner",IF(F108="P3","Rapid swimming, escape behavior",IF(F108="P4","Little movement",IF(F108="P5","Jumping out of the water",IF(F108="P6","Reaction to a tool or impact"))))))</f>
        <v>Rapid swimming, escape behavior</v>
      </c>
      <c r="I108" s="6"/>
    </row>
    <row r="109" spans="1:9" x14ac:dyDescent="0.35">
      <c r="A109" s="4">
        <v>46138</v>
      </c>
      <c r="B109" s="10">
        <v>0.62847222222222221</v>
      </c>
      <c r="C109" s="10">
        <v>0.63541666666666663</v>
      </c>
      <c r="D109" s="5">
        <f>C109-B109</f>
        <v>6.9444444444444198E-3</v>
      </c>
      <c r="E109" s="6" t="s">
        <v>29</v>
      </c>
      <c r="F109" s="7" t="s">
        <v>9</v>
      </c>
      <c r="G109" s="7" t="str">
        <f>IF(F109="P1","Normal activity",IF(F109="P2","Clustering / aggregation",IF(F109="P3","Agitation",IF(F109="P4","Lethargy",IF(F109="P5","Jumping / splashing",IF(F109="P6","Reactivity to noise"))))))</f>
        <v>Normal activity</v>
      </c>
      <c r="H109" s="7" t="str">
        <f>IF(F109="P1","Regular swimming, even distribution",IF(F109="P2","Fish grouped in one corner",IF(F109="P3","Rapid swimming, escape behavior",IF(F109="P4","Little movement",IF(F109="P5","Jumping out of the water",IF(F109="P6","Reaction to a tool or impact"))))))</f>
        <v>Regular swimming, even distribution</v>
      </c>
      <c r="I109" s="6" t="s">
        <v>86</v>
      </c>
    </row>
    <row r="110" spans="1:9" x14ac:dyDescent="0.35">
      <c r="A110" s="4">
        <v>46138</v>
      </c>
      <c r="B110" s="10">
        <v>0.62847222222222221</v>
      </c>
      <c r="C110" s="10">
        <v>0.63541666666666663</v>
      </c>
      <c r="D110" s="5">
        <f>C110-B110</f>
        <v>6.9444444444444198E-3</v>
      </c>
      <c r="E110" s="6" t="s">
        <v>31</v>
      </c>
      <c r="F110" s="7" t="s">
        <v>9</v>
      </c>
      <c r="G110" s="7" t="str">
        <f>IF(F110="P1","Normal activity",IF(F110="P2","Clustering / aggregation",IF(F110="P3","Agitation",IF(F110="P4","Lethargy",IF(F110="P5","Jumping / splashing",IF(F110="P6","Reactivity to noise"))))))</f>
        <v>Normal activity</v>
      </c>
      <c r="H110" s="7" t="str">
        <f>IF(F110="P1","Regular swimming, even distribution",IF(F110="P2","Fish grouped in one corner",IF(F110="P3","Rapid swimming, escape behavior",IF(F110="P4","Little movement",IF(F110="P5","Jumping out of the water",IF(F110="P6","Reaction to a tool or impact"))))))</f>
        <v>Regular swimming, even distribution</v>
      </c>
      <c r="I110" s="6" t="s">
        <v>85</v>
      </c>
    </row>
    <row r="111" spans="1:9" x14ac:dyDescent="0.35">
      <c r="A111" s="4">
        <v>46138</v>
      </c>
      <c r="B111" s="10">
        <v>0.62847222222222221</v>
      </c>
      <c r="C111" s="10">
        <v>0.63541666666666663</v>
      </c>
      <c r="D111" s="5">
        <f>C111-B111</f>
        <v>6.9444444444444198E-3</v>
      </c>
      <c r="E111" s="6" t="s">
        <v>31</v>
      </c>
      <c r="F111" s="7" t="s">
        <v>15</v>
      </c>
      <c r="G111" s="7" t="str">
        <f>IF(F111="P1","Normal activity",IF(F111="P2","Clustering / aggregation",IF(F111="P3","Agitation",IF(F111="P4","Lethargy",IF(F111="P5","Jumping / splashing",IF(F111="P6","Reactivity to noise"))))))</f>
        <v>Agitation</v>
      </c>
      <c r="H111" s="7" t="str">
        <f>IF(F111="P1","Regular swimming, even distribution",IF(F111="P2","Fish grouped in one corner",IF(F111="P3","Rapid swimming, escape behavior",IF(F111="P4","Little movement",IF(F111="P5","Jumping out of the water",IF(F111="P6","Reaction to a tool or impact"))))))</f>
        <v>Rapid swimming, escape behavior</v>
      </c>
      <c r="I111" s="6"/>
    </row>
    <row r="112" spans="1:9" x14ac:dyDescent="0.35">
      <c r="A112" s="4">
        <v>46143</v>
      </c>
      <c r="B112" s="10">
        <v>0.39583333333333331</v>
      </c>
      <c r="C112" s="10">
        <v>0.40277777777777779</v>
      </c>
      <c r="D112" s="5">
        <f>C112-B112</f>
        <v>6.9444444444444753E-3</v>
      </c>
      <c r="E112" s="6" t="s">
        <v>27</v>
      </c>
      <c r="F112" s="7" t="s">
        <v>9</v>
      </c>
      <c r="G112" s="7" t="str">
        <f>IF(F112="P1","Normal activity",IF(F112="P2","Clustering / aggregation",IF(F112="P3","Agitation",IF(F112="P4","Lethargy",IF(F112="P5","Jumping / splashing",IF(F112="P6","Reactivity to noise"))))))</f>
        <v>Normal activity</v>
      </c>
      <c r="H112" s="7" t="str">
        <f>IF(F112="P1","Regular swimming, even distribution",IF(F112="P2","Fish grouped in one corner",IF(F112="P3","Rapid swimming, escape behavior",IF(F112="P4","Little movement",IF(F112="P5","Jumping out of the water",IF(F112="P6","Reaction to a tool or impact"))))))</f>
        <v>Regular swimming, even distribution</v>
      </c>
      <c r="I112" s="6" t="s">
        <v>87</v>
      </c>
    </row>
    <row r="113" spans="1:9" x14ac:dyDescent="0.35">
      <c r="A113" s="4">
        <v>46143</v>
      </c>
      <c r="B113" s="10">
        <v>0.39583333333333331</v>
      </c>
      <c r="C113" s="10">
        <v>0.40277777777777779</v>
      </c>
      <c r="D113" s="5">
        <f>C113-B113</f>
        <v>6.9444444444444753E-3</v>
      </c>
      <c r="E113" s="6" t="s">
        <v>27</v>
      </c>
      <c r="F113" s="7" t="s">
        <v>12</v>
      </c>
      <c r="G113" s="7" t="str">
        <f>IF(F113="P1","Normal activity",IF(F113="P2","Clustering / aggregation",IF(F113="P3","Agitation",IF(F113="P4","Lethargy",IF(F113="P5","Jumping / splashing",IF(F113="P6","Reactivity to noise"))))))</f>
        <v>Clustering / aggregation</v>
      </c>
      <c r="H113" s="7" t="str">
        <f>IF(F113="P1","Regular swimming, even distribution",IF(F113="P2","Fish grouped in one corner",IF(F113="P3","Rapid swimming, escape behavior",IF(F113="P4","Little movement",IF(F113="P5","Jumping out of the water",IF(F113="P6","Reaction to a tool or impact"))))))</f>
        <v>Fish grouped in one corner</v>
      </c>
      <c r="I113" s="6"/>
    </row>
    <row r="114" spans="1:9" x14ac:dyDescent="0.35">
      <c r="A114" s="4">
        <v>46143</v>
      </c>
      <c r="B114" s="10">
        <v>0.39583333333333331</v>
      </c>
      <c r="C114" s="10">
        <v>0.40277777777777779</v>
      </c>
      <c r="D114" s="5">
        <f>C114-B114</f>
        <v>6.9444444444444753E-3</v>
      </c>
      <c r="E114" s="6" t="s">
        <v>28</v>
      </c>
      <c r="F114" s="7" t="s">
        <v>9</v>
      </c>
      <c r="G114" s="7" t="str">
        <f>IF(F114="P1","Normal activity",IF(F114="P2","Clustering / aggregation",IF(F114="P3","Agitation",IF(F114="P4","Lethargy",IF(F114="P5","Jumping / splashing",IF(F114="P6","Reactivity to noise"))))))</f>
        <v>Normal activity</v>
      </c>
      <c r="H114" s="7" t="str">
        <f>IF(F114="P1","Regular swimming, even distribution",IF(F114="P2","Fish grouped in one corner",IF(F114="P3","Rapid swimming, escape behavior",IF(F114="P4","Little movement",IF(F114="P5","Jumping out of the water",IF(F114="P6","Reaction to a tool or impact"))))))</f>
        <v>Regular swimming, even distribution</v>
      </c>
      <c r="I114" s="6" t="s">
        <v>87</v>
      </c>
    </row>
    <row r="115" spans="1:9" x14ac:dyDescent="0.35">
      <c r="A115" s="4">
        <v>46143</v>
      </c>
      <c r="B115" s="10">
        <v>0.39583333333333298</v>
      </c>
      <c r="C115" s="10">
        <v>0.40277777777777801</v>
      </c>
      <c r="D115" s="5">
        <f>C115-B115</f>
        <v>6.9444444444450304E-3</v>
      </c>
      <c r="E115" s="6" t="s">
        <v>28</v>
      </c>
      <c r="F115" s="7" t="s">
        <v>12</v>
      </c>
      <c r="G115" s="7" t="str">
        <f>IF(F115="P1","Normal activity",IF(F115="P2","Clustering / aggregation",IF(F115="P3","Agitation",IF(F115="P4","Lethargy",IF(F115="P5","Jumping / splashing",IF(F115="P6","Reactivity to noise"))))))</f>
        <v>Clustering / aggregation</v>
      </c>
      <c r="H115" s="7" t="str">
        <f>IF(F115="P1","Regular swimming, even distribution",IF(F115="P2","Fish grouped in one corner",IF(F115="P3","Rapid swimming, escape behavior",IF(F115="P4","Little movement",IF(F115="P5","Jumping out of the water",IF(F115="P6","Reaction to a tool or impact"))))))</f>
        <v>Fish grouped in one corner</v>
      </c>
      <c r="I115" s="6"/>
    </row>
    <row r="116" spans="1:9" x14ac:dyDescent="0.35">
      <c r="A116" s="4">
        <v>46143</v>
      </c>
      <c r="B116" s="10">
        <v>0.39583333333333331</v>
      </c>
      <c r="C116" s="10">
        <v>0.40277777777777779</v>
      </c>
      <c r="D116" s="5">
        <f>C116-B116</f>
        <v>6.9444444444444753E-3</v>
      </c>
      <c r="E116" s="6" t="s">
        <v>29</v>
      </c>
      <c r="F116" s="7" t="s">
        <v>9</v>
      </c>
      <c r="G116" s="7" t="str">
        <f>IF(F116="P1","Normal activity",IF(F116="P2","Clustering / aggregation",IF(F116="P3","Agitation",IF(F116="P4","Lethargy",IF(F116="P5","Jumping / splashing",IF(F116="P6","Reactivity to noise"))))))</f>
        <v>Normal activity</v>
      </c>
      <c r="H116" s="7" t="str">
        <f>IF(F116="P1","Regular swimming, even distribution",IF(F116="P2","Fish grouped in one corner",IF(F116="P3","Rapid swimming, escape behavior",IF(F116="P4","Little movement",IF(F116="P5","Jumping out of the water",IF(F116="P6","Reaction to a tool or impact"))))))</f>
        <v>Regular swimming, even distribution</v>
      </c>
      <c r="I116" s="6" t="s">
        <v>88</v>
      </c>
    </row>
    <row r="117" spans="1:9" x14ac:dyDescent="0.35">
      <c r="A117" s="4">
        <v>46143</v>
      </c>
      <c r="B117" s="10">
        <v>0.39583333333333398</v>
      </c>
      <c r="C117" s="10">
        <v>0.40277777777777801</v>
      </c>
      <c r="D117" s="5">
        <f>C117-B117</f>
        <v>6.9444444444440312E-3</v>
      </c>
      <c r="E117" s="6" t="s">
        <v>29</v>
      </c>
      <c r="F117" s="7" t="s">
        <v>12</v>
      </c>
      <c r="G117" s="7" t="str">
        <f>IF(F117="P1","Normal activity",IF(F117="P2","Clustering / aggregation",IF(F117="P3","Agitation",IF(F117="P4","Lethargy",IF(F117="P5","Jumping / splashing",IF(F117="P6","Reactivity to noise"))))))</f>
        <v>Clustering / aggregation</v>
      </c>
      <c r="H117" s="7" t="str">
        <f>IF(F117="P1","Regular swimming, even distribution",IF(F117="P2","Fish grouped in one corner",IF(F117="P3","Rapid swimming, escape behavior",IF(F117="P4","Little movement",IF(F117="P5","Jumping out of the water",IF(F117="P6","Reaction to a tool or impact"))))))</f>
        <v>Fish grouped in one corner</v>
      </c>
      <c r="I117" s="6"/>
    </row>
    <row r="118" spans="1:9" x14ac:dyDescent="0.35">
      <c r="A118" s="4">
        <v>46143</v>
      </c>
      <c r="B118" s="10">
        <v>0.39583333333333331</v>
      </c>
      <c r="C118" s="10">
        <v>0.40277777777777779</v>
      </c>
      <c r="D118" s="5">
        <f>C118-B118</f>
        <v>6.9444444444444753E-3</v>
      </c>
      <c r="E118" s="6" t="s">
        <v>31</v>
      </c>
      <c r="F118" s="7" t="s">
        <v>9</v>
      </c>
      <c r="G118" s="7" t="str">
        <f>IF(F118="P1","Normal activity",IF(F118="P2","Clustering / aggregation",IF(F118="P3","Agitation",IF(F118="P4","Lethargy",IF(F118="P5","Jumping / splashing",IF(F118="P6","Reactivity to noise"))))))</f>
        <v>Normal activity</v>
      </c>
      <c r="H118" s="7" t="str">
        <f>IF(F118="P1","Regular swimming, even distribution",IF(F118="P2","Fish grouped in one corner",IF(F118="P3","Rapid swimming, escape behavior",IF(F118="P4","Little movement",IF(F118="P5","Jumping out of the water",IF(F118="P6","Reaction to a tool or impact"))))))</f>
        <v>Regular swimming, even distribution</v>
      </c>
      <c r="I118" s="6" t="s">
        <v>89</v>
      </c>
    </row>
    <row r="119" spans="1:9" x14ac:dyDescent="0.35">
      <c r="A119" s="4">
        <v>46143</v>
      </c>
      <c r="B119" s="10">
        <v>0.39583333333333298</v>
      </c>
      <c r="C119" s="10">
        <v>0.40277777777777801</v>
      </c>
      <c r="D119" s="5">
        <f>C119-B119</f>
        <v>6.9444444444450304E-3</v>
      </c>
      <c r="E119" s="6" t="s">
        <v>31</v>
      </c>
      <c r="F119" s="7" t="s">
        <v>12</v>
      </c>
      <c r="G119" s="7" t="str">
        <f>IF(F119="P1","Normal activity",IF(F119="P2","Clustering / aggregation",IF(F119="P3","Agitation",IF(F119="P4","Lethargy",IF(F119="P5","Jumping / splashing",IF(F119="P6","Reactivity to noise"))))))</f>
        <v>Clustering / aggregation</v>
      </c>
      <c r="H119" s="7" t="str">
        <f>IF(F119="P1","Regular swimming, even distribution",IF(F119="P2","Fish grouped in one corner",IF(F119="P3","Rapid swimming, escape behavior",IF(F119="P4","Little movement",IF(F119="P5","Jumping out of the water",IF(F119="P6","Reaction to a tool or impact"))))))</f>
        <v>Fish grouped in one corner</v>
      </c>
      <c r="I119" s="6"/>
    </row>
    <row r="120" spans="1:9" x14ac:dyDescent="0.35">
      <c r="A120" s="4">
        <v>46143</v>
      </c>
      <c r="B120" s="10">
        <v>0.40277777777777779</v>
      </c>
      <c r="C120" s="10">
        <v>0.40625</v>
      </c>
      <c r="D120" s="5">
        <f>C120-B120</f>
        <v>3.4722222222222099E-3</v>
      </c>
      <c r="E120" s="6"/>
      <c r="F120" s="7"/>
      <c r="G120" s="7" t="b">
        <f>IF(F120="P1","Normal activity",IF(F120="P2","Clustering / aggregation",IF(F120="P3","Agitation",IF(F120="P4","Lethargy",IF(F120="P5","Jumping / splashing",IF(F120="P6","Reactivity to noise"))))))</f>
        <v>0</v>
      </c>
      <c r="H120" s="7" t="b">
        <f>IF(F120="P1","Regular swimming, even distribution",IF(F120="P2","Fish grouped in one corner",IF(F120="P3","Rapid swimming, escape behavior",IF(F120="P4","Little movement",IF(F120="P5","Jumping out of the water",IF(F120="P6","Reaction to a tool or impact"))))))</f>
        <v>0</v>
      </c>
      <c r="I120" s="6" t="s">
        <v>40</v>
      </c>
    </row>
    <row r="121" spans="1:9" x14ac:dyDescent="0.35">
      <c r="A121" s="4">
        <v>46143</v>
      </c>
      <c r="B121" s="10">
        <v>0.40625</v>
      </c>
      <c r="C121" s="10">
        <v>0.41319444444444442</v>
      </c>
      <c r="D121" s="5">
        <f>C121-B121</f>
        <v>6.9444444444444198E-3</v>
      </c>
      <c r="E121" s="6" t="s">
        <v>27</v>
      </c>
      <c r="F121" s="7" t="s">
        <v>9</v>
      </c>
      <c r="G121" s="7" t="str">
        <f>IF(F121="P1","Normal activity",IF(F121="P2","Clustering / aggregation",IF(F121="P3","Agitation",IF(F121="P4","Lethargy",IF(F121="P5","Jumping / splashing",IF(F121="P6","Reactivity to noise"))))))</f>
        <v>Normal activity</v>
      </c>
      <c r="H121" s="7" t="str">
        <f>IF(F121="P1","Regular swimming, even distribution",IF(F121="P2","Fish grouped in one corner",IF(F121="P3","Rapid swimming, escape behavior",IF(F121="P4","Little movement",IF(F121="P5","Jumping out of the water",IF(F121="P6","Reaction to a tool or impact"))))))</f>
        <v>Regular swimming, even distribution</v>
      </c>
      <c r="I121" s="6" t="s">
        <v>90</v>
      </c>
    </row>
    <row r="122" spans="1:9" x14ac:dyDescent="0.35">
      <c r="A122" s="4">
        <v>46143</v>
      </c>
      <c r="B122" s="10">
        <v>0.40625</v>
      </c>
      <c r="C122" s="10">
        <v>0.41319444444444442</v>
      </c>
      <c r="D122" s="5">
        <f>C122-B122</f>
        <v>6.9444444444444198E-3</v>
      </c>
      <c r="E122" s="6" t="s">
        <v>27</v>
      </c>
      <c r="F122" s="7" t="s">
        <v>12</v>
      </c>
      <c r="G122" s="7" t="str">
        <f>IF(F122="P1","Normal activity",IF(F122="P2","Clustering / aggregation",IF(F122="P3","Agitation",IF(F122="P4","Lethargy",IF(F122="P5","Jumping / splashing",IF(F122="P6","Reactivity to noise"))))))</f>
        <v>Clustering / aggregation</v>
      </c>
      <c r="H122" s="7" t="str">
        <f>IF(F122="P1","Regular swimming, even distribution",IF(F122="P2","Fish grouped in one corner",IF(F122="P3","Rapid swimming, escape behavior",IF(F122="P4","Little movement",IF(F122="P5","Jumping out of the water",IF(F122="P6","Reaction to a tool or impact"))))))</f>
        <v>Fish grouped in one corner</v>
      </c>
      <c r="I122" s="6"/>
    </row>
    <row r="123" spans="1:9" x14ac:dyDescent="0.35">
      <c r="A123" s="4">
        <v>46143</v>
      </c>
      <c r="B123" s="10">
        <v>0.40625</v>
      </c>
      <c r="C123" s="10">
        <v>0.41319444444444442</v>
      </c>
      <c r="D123" s="5">
        <f>C123-B123</f>
        <v>6.9444444444444198E-3</v>
      </c>
      <c r="E123" s="6" t="s">
        <v>28</v>
      </c>
      <c r="F123" s="7" t="s">
        <v>9</v>
      </c>
      <c r="G123" s="7" t="str">
        <f>IF(F123="P1","Normal activity",IF(F123="P2","Clustering / aggregation",IF(F123="P3","Agitation",IF(F123="P4","Lethargy",IF(F123="P5","Jumping / splashing",IF(F123="P6","Reactivity to noise"))))))</f>
        <v>Normal activity</v>
      </c>
      <c r="H123" s="7" t="str">
        <f>IF(F123="P1","Regular swimming, even distribution",IF(F123="P2","Fish grouped in one corner",IF(F123="P3","Rapid swimming, escape behavior",IF(F123="P4","Little movement",IF(F123="P5","Jumping out of the water",IF(F123="P6","Reaction to a tool or impact"))))))</f>
        <v>Regular swimming, even distribution</v>
      </c>
      <c r="I123" s="6" t="s">
        <v>90</v>
      </c>
    </row>
    <row r="124" spans="1:9" x14ac:dyDescent="0.35">
      <c r="A124" s="4">
        <v>46143</v>
      </c>
      <c r="B124" s="10">
        <v>0.40625</v>
      </c>
      <c r="C124" s="10">
        <v>0.41319444444444442</v>
      </c>
      <c r="D124" s="5">
        <f>C124-B124</f>
        <v>6.9444444444444198E-3</v>
      </c>
      <c r="E124" s="6" t="s">
        <v>29</v>
      </c>
      <c r="F124" s="7" t="s">
        <v>9</v>
      </c>
      <c r="G124" s="7" t="str">
        <f>IF(F124="P1","Normal activity",IF(F124="P2","Clustering / aggregation",IF(F124="P3","Agitation",IF(F124="P4","Lethargy",IF(F124="P5","Jumping / splashing",IF(F124="P6","Reactivity to noise"))))))</f>
        <v>Normal activity</v>
      </c>
      <c r="H124" s="7" t="str">
        <f>IF(F124="P1","Regular swimming, even distribution",IF(F124="P2","Fish grouped in one corner",IF(F124="P3","Rapid swimming, escape behavior",IF(F124="P4","Little movement",IF(F124="P5","Jumping out of the water",IF(F124="P6","Reaction to a tool or impact"))))))</f>
        <v>Regular swimming, even distribution</v>
      </c>
      <c r="I124" s="6" t="s">
        <v>91</v>
      </c>
    </row>
    <row r="125" spans="1:9" x14ac:dyDescent="0.35">
      <c r="A125" s="4">
        <v>46143</v>
      </c>
      <c r="B125" s="10">
        <v>0.40625</v>
      </c>
      <c r="C125" s="10">
        <v>0.41319444444444442</v>
      </c>
      <c r="D125" s="5">
        <f>C125-B125</f>
        <v>6.9444444444444198E-3</v>
      </c>
      <c r="E125" s="6" t="s">
        <v>31</v>
      </c>
      <c r="F125" s="7" t="s">
        <v>9</v>
      </c>
      <c r="G125" s="7" t="str">
        <f>IF(F125="P1","Normal activity",IF(F125="P2","Clustering / aggregation",IF(F125="P3","Agitation",IF(F125="P4","Lethargy",IF(F125="P5","Jumping / splashing",IF(F125="P6","Reactivity to noise"))))))</f>
        <v>Normal activity</v>
      </c>
      <c r="H125" s="7" t="str">
        <f>IF(F125="P1","Regular swimming, even distribution",IF(F125="P2","Fish grouped in one corner",IF(F125="P3","Rapid swimming, escape behavior",IF(F125="P4","Little movement",IF(F125="P5","Jumping out of the water",IF(F125="P6","Reaction to a tool or impact"))))))</f>
        <v>Regular swimming, even distribution</v>
      </c>
      <c r="I125" s="6" t="s">
        <v>92</v>
      </c>
    </row>
    <row r="126" spans="1:9" x14ac:dyDescent="0.35">
      <c r="A126" s="4">
        <v>46143</v>
      </c>
      <c r="B126" s="10">
        <v>0.40625</v>
      </c>
      <c r="C126" s="10">
        <v>0.41319444444444398</v>
      </c>
      <c r="D126" s="5">
        <f>C126-B126</f>
        <v>6.9444444444439757E-3</v>
      </c>
      <c r="E126" s="6" t="s">
        <v>31</v>
      </c>
      <c r="F126" s="7" t="s">
        <v>12</v>
      </c>
      <c r="G126" s="7" t="str">
        <f>IF(F126="P1","Normal activity",IF(F126="P2","Clustering / aggregation",IF(F126="P3","Agitation",IF(F126="P4","Lethargy",IF(F126="P5","Jumping / splashing",IF(F126="P6","Reactivity to noise"))))))</f>
        <v>Clustering / aggregation</v>
      </c>
      <c r="H126" s="7" t="str">
        <f>IF(F126="P1","Regular swimming, even distribution",IF(F126="P2","Fish grouped in one corner",IF(F126="P3","Rapid swimming, escape behavior",IF(F126="P4","Little movement",IF(F126="P5","Jumping out of the water",IF(F126="P6","Reaction to a tool or impact"))))))</f>
        <v>Fish grouped in one corner</v>
      </c>
      <c r="I126" s="6"/>
    </row>
    <row r="127" spans="1:9" x14ac:dyDescent="0.35">
      <c r="A127" s="4">
        <v>46143</v>
      </c>
      <c r="B127" s="10">
        <v>0.45833333333333331</v>
      </c>
      <c r="C127" s="10">
        <v>0.46527777777777779</v>
      </c>
      <c r="D127" s="5">
        <f>C127-B127</f>
        <v>6.9444444444444753E-3</v>
      </c>
      <c r="E127" s="6" t="s">
        <v>27</v>
      </c>
      <c r="F127" s="7" t="s">
        <v>12</v>
      </c>
      <c r="G127" s="7" t="str">
        <f>IF(F127="P1","Normal activity",IF(F127="P2","Clustering / aggregation",IF(F127="P3","Agitation",IF(F127="P4","Lethargy",IF(F127="P5","Jumping / splashing",IF(F127="P6","Reactivity to noise"))))))</f>
        <v>Clustering / aggregation</v>
      </c>
      <c r="H127" s="7" t="str">
        <f>IF(F127="P1","Regular swimming, even distribution",IF(F127="P2","Fish grouped in one corner",IF(F127="P3","Rapid swimming, escape behavior",IF(F127="P4","Little movement",IF(F127="P5","Jumping out of the water",IF(F127="P6","Reaction to a tool or impact"))))))</f>
        <v>Fish grouped in one corner</v>
      </c>
      <c r="I127" s="6" t="s">
        <v>93</v>
      </c>
    </row>
    <row r="128" spans="1:9" x14ac:dyDescent="0.35">
      <c r="A128" s="4">
        <v>46143</v>
      </c>
      <c r="B128" s="10">
        <v>0.45833333333333331</v>
      </c>
      <c r="C128" s="10">
        <v>0.46527777777777779</v>
      </c>
      <c r="D128" s="5">
        <f>C128-B128</f>
        <v>6.9444444444444753E-3</v>
      </c>
      <c r="E128" s="6" t="s">
        <v>28</v>
      </c>
      <c r="F128" s="7" t="s">
        <v>12</v>
      </c>
      <c r="G128" s="7" t="str">
        <f>IF(F128="P1","Normal activity",IF(F128="P2","Clustering / aggregation",IF(F128="P3","Agitation",IF(F128="P4","Lethargy",IF(F128="P5","Jumping / splashing",IF(F128="P6","Reactivity to noise"))))))</f>
        <v>Clustering / aggregation</v>
      </c>
      <c r="H128" s="7" t="str">
        <f>IF(F128="P1","Regular swimming, even distribution",IF(F128="P2","Fish grouped in one corner",IF(F128="P3","Rapid swimming, escape behavior",IF(F128="P4","Little movement",IF(F128="P5","Jumping out of the water",IF(F128="P6","Reaction to a tool or impact"))))))</f>
        <v>Fish grouped in one corner</v>
      </c>
      <c r="I128" s="6" t="s">
        <v>94</v>
      </c>
    </row>
    <row r="129" spans="1:9" x14ac:dyDescent="0.35">
      <c r="A129" s="4">
        <v>46143</v>
      </c>
      <c r="B129" s="10">
        <v>0.45833333333333331</v>
      </c>
      <c r="C129" s="10">
        <v>0.46527777777777779</v>
      </c>
      <c r="D129" s="5">
        <f>C129-B129</f>
        <v>6.9444444444444753E-3</v>
      </c>
      <c r="E129" s="6" t="s">
        <v>29</v>
      </c>
      <c r="F129" s="7" t="s">
        <v>9</v>
      </c>
      <c r="G129" s="7" t="str">
        <f>IF(F129="P1","Normal activity",IF(F129="P2","Clustering / aggregation",IF(F129="P3","Agitation",IF(F129="P4","Lethargy",IF(F129="P5","Jumping / splashing",IF(F129="P6","Reactivity to noise"))))))</f>
        <v>Normal activity</v>
      </c>
      <c r="H129" s="7" t="str">
        <f>IF(F129="P1","Regular swimming, even distribution",IF(F129="P2","Fish grouped in one corner",IF(F129="P3","Rapid swimming, escape behavior",IF(F129="P4","Little movement",IF(F129="P5","Jumping out of the water",IF(F129="P6","Reaction to a tool or impact"))))))</f>
        <v>Regular swimming, even distribution</v>
      </c>
      <c r="I129" s="10" t="s">
        <v>95</v>
      </c>
    </row>
    <row r="130" spans="1:9" x14ac:dyDescent="0.35">
      <c r="A130" s="4">
        <v>46143</v>
      </c>
      <c r="B130" s="10">
        <v>0.45833333333333331</v>
      </c>
      <c r="C130" s="10">
        <v>0.46527777777777779</v>
      </c>
      <c r="D130" s="5">
        <f>C130-B130</f>
        <v>6.9444444444444753E-3</v>
      </c>
      <c r="E130" s="6" t="s">
        <v>31</v>
      </c>
      <c r="F130" s="7" t="s">
        <v>12</v>
      </c>
      <c r="G130" s="7" t="str">
        <f>IF(F130="P1","Normal activity",IF(F130="P2","Clustering / aggregation",IF(F130="P3","Agitation",IF(F130="P4","Lethargy",IF(F130="P5","Jumping / splashing",IF(F130="P6","Reactivity to noise"))))))</f>
        <v>Clustering / aggregation</v>
      </c>
      <c r="H130" s="7" t="str">
        <f>IF(F130="P1","Regular swimming, even distribution",IF(F130="P2","Fish grouped in one corner",IF(F130="P3","Rapid swimming, escape behavior",IF(F130="P4","Little movement",IF(F130="P5","Jumping out of the water",IF(F130="P6","Reaction to a tool or impact"))))))</f>
        <v>Fish grouped in one corner</v>
      </c>
      <c r="I130" s="6" t="s">
        <v>96</v>
      </c>
    </row>
    <row r="131" spans="1:9" x14ac:dyDescent="0.35">
      <c r="A131" s="4">
        <v>46143</v>
      </c>
      <c r="B131" s="10">
        <v>0.45833333333333331</v>
      </c>
      <c r="C131" s="10">
        <v>0.46527777777777779</v>
      </c>
      <c r="D131" s="5">
        <f>C131-B131</f>
        <v>6.9444444444444753E-3</v>
      </c>
      <c r="E131" s="6" t="s">
        <v>31</v>
      </c>
      <c r="F131" s="7" t="s">
        <v>15</v>
      </c>
      <c r="G131" s="7" t="str">
        <f>IF(F131="P1","Normal activity",IF(F131="P2","Clustering / aggregation",IF(F131="P3","Agitation",IF(F131="P4","Lethargy",IF(F131="P5","Jumping / splashing",IF(F131="P6","Reactivity to noise"))))))</f>
        <v>Agitation</v>
      </c>
      <c r="H131" s="7" t="str">
        <f>IF(F131="P1","Regular swimming, even distribution",IF(F131="P2","Fish grouped in one corner",IF(F131="P3","Rapid swimming, escape behavior",IF(F131="P4","Little movement",IF(F131="P5","Jumping out of the water",IF(F131="P6","Reaction to a tool or impact"))))))</f>
        <v>Rapid swimming, escape behavior</v>
      </c>
      <c r="I131" s="6" t="s">
        <v>97</v>
      </c>
    </row>
    <row r="132" spans="1:9" x14ac:dyDescent="0.35">
      <c r="A132" s="4">
        <v>46143</v>
      </c>
      <c r="B132" s="10">
        <v>0.46527777777777779</v>
      </c>
      <c r="C132" s="10">
        <v>0.46875</v>
      </c>
      <c r="D132" s="5">
        <f>C132-B132</f>
        <v>3.4722222222222099E-3</v>
      </c>
      <c r="E132" s="6"/>
      <c r="F132" s="7"/>
      <c r="G132" s="7" t="b">
        <f>IF(F132="P1","Normal activity",IF(F132="P2","Clustering / aggregation",IF(F132="P3","Agitation",IF(F132="P4","Lethargy",IF(F132="P5","Jumping / splashing",IF(F132="P6","Reactivity to noise"))))))</f>
        <v>0</v>
      </c>
      <c r="H132" s="7" t="b">
        <f>IF(F132="P1","Regular swimming, even distribution",IF(F132="P2","Fish grouped in one corner",IF(F132="P3","Rapid swimming, escape behavior",IF(F132="P4","Little movement",IF(F132="P5","Jumping out of the water",IF(F132="P6","Reaction to a tool or impact"))))))</f>
        <v>0</v>
      </c>
      <c r="I132" s="6" t="s">
        <v>98</v>
      </c>
    </row>
    <row r="133" spans="1:9" x14ac:dyDescent="0.35">
      <c r="A133" s="4">
        <v>46143</v>
      </c>
      <c r="B133" s="10">
        <v>0.46875</v>
      </c>
      <c r="C133" s="10">
        <v>0.47569444444444442</v>
      </c>
      <c r="D133" s="5">
        <f>C133-B133</f>
        <v>6.9444444444444198E-3</v>
      </c>
      <c r="E133" s="6" t="s">
        <v>27</v>
      </c>
      <c r="F133" s="7" t="s">
        <v>12</v>
      </c>
      <c r="G133" s="7" t="str">
        <f>IF(F133="P1","Normal activity",IF(F133="P2","Clustering / aggregation",IF(F133="P3","Agitation",IF(F133="P4","Lethargy",IF(F133="P5","Jumping / splashing",IF(F133="P6","Reactivity to noise"))))))</f>
        <v>Clustering / aggregation</v>
      </c>
      <c r="H133" s="7" t="str">
        <f>IF(F133="P1","Regular swimming, even distribution",IF(F133="P2","Fish grouped in one corner",IF(F133="P3","Rapid swimming, escape behavior",IF(F133="P4","Little movement",IF(F133="P5","Jumping out of the water",IF(F133="P6","Reaction to a tool or impact"))))))</f>
        <v>Fish grouped in one corner</v>
      </c>
      <c r="I133" s="6" t="s">
        <v>99</v>
      </c>
    </row>
    <row r="134" spans="1:9" x14ac:dyDescent="0.35">
      <c r="A134" s="4">
        <v>46143</v>
      </c>
      <c r="B134" s="10">
        <v>0.46875</v>
      </c>
      <c r="C134" s="10">
        <v>0.47569444444444442</v>
      </c>
      <c r="D134" s="5">
        <f>C134-B134</f>
        <v>6.9444444444444198E-3</v>
      </c>
      <c r="E134" s="6" t="s">
        <v>28</v>
      </c>
      <c r="F134" s="7" t="s">
        <v>12</v>
      </c>
      <c r="G134" s="7" t="str">
        <f>IF(F134="P1","Normal activity",IF(F134="P2","Clustering / aggregation",IF(F134="P3","Agitation",IF(F134="P4","Lethargy",IF(F134="P5","Jumping / splashing",IF(F134="P6","Reactivity to noise"))))))</f>
        <v>Clustering / aggregation</v>
      </c>
      <c r="H134" s="7" t="str">
        <f>IF(F134="P1","Regular swimming, even distribution",IF(F134="P2","Fish grouped in one corner",IF(F134="P3","Rapid swimming, escape behavior",IF(F134="P4","Little movement",IF(F134="P5","Jumping out of the water",IF(F134="P6","Reaction to a tool or impact"))))))</f>
        <v>Fish grouped in one corner</v>
      </c>
      <c r="I134" s="6" t="s">
        <v>100</v>
      </c>
    </row>
    <row r="135" spans="1:9" x14ac:dyDescent="0.35">
      <c r="A135" s="4">
        <v>46143</v>
      </c>
      <c r="B135" s="10">
        <v>0.46875</v>
      </c>
      <c r="C135" s="10">
        <v>0.47569444444444398</v>
      </c>
      <c r="D135" s="5">
        <f>C135-B135</f>
        <v>6.9444444444439757E-3</v>
      </c>
      <c r="E135" s="6" t="s">
        <v>29</v>
      </c>
      <c r="F135" s="7" t="s">
        <v>12</v>
      </c>
      <c r="G135" s="7" t="str">
        <f>IF(F135="P1","Normal activity",IF(F135="P2","Clustering / aggregation",IF(F135="P3","Agitation",IF(F135="P4","Lethargy",IF(F135="P5","Jumping / splashing",IF(F135="P6","Reactivity to noise"))))))</f>
        <v>Clustering / aggregation</v>
      </c>
      <c r="H135" s="7" t="str">
        <f>IF(F135="P1","Regular swimming, even distribution",IF(F135="P2","Fish grouped in one corner",IF(F135="P3","Rapid swimming, escape behavior",IF(F135="P4","Little movement",IF(F135="P5","Jumping out of the water",IF(F135="P6","Reaction to a tool or impact"))))))</f>
        <v>Fish grouped in one corner</v>
      </c>
      <c r="I135" s="6" t="s">
        <v>101</v>
      </c>
    </row>
    <row r="136" spans="1:9" x14ac:dyDescent="0.35">
      <c r="A136" s="4">
        <v>46143</v>
      </c>
      <c r="B136" s="10">
        <v>0.46875</v>
      </c>
      <c r="C136" s="10">
        <v>0.47569444444444398</v>
      </c>
      <c r="D136" s="5">
        <f>C136-B136</f>
        <v>6.9444444444439757E-3</v>
      </c>
      <c r="E136" s="6" t="s">
        <v>31</v>
      </c>
      <c r="F136" s="7" t="s">
        <v>12</v>
      </c>
      <c r="G136" s="7" t="str">
        <f>IF(F136="P1","Normal activity",IF(F136="P2","Clustering / aggregation",IF(F136="P3","Agitation",IF(F136="P4","Lethargy",IF(F136="P5","Jumping / splashing",IF(F136="P6","Reactivity to noise"))))))</f>
        <v>Clustering / aggregation</v>
      </c>
      <c r="H136" s="7" t="str">
        <f>IF(F136="P1","Regular swimming, even distribution",IF(F136="P2","Fish grouped in one corner",IF(F136="P3","Rapid swimming, escape behavior",IF(F136="P4","Little movement",IF(F136="P5","Jumping out of the water",IF(F136="P6","Reaction to a tool or impact"))))))</f>
        <v>Fish grouped in one corner</v>
      </c>
      <c r="I136" s="6" t="s">
        <v>102</v>
      </c>
    </row>
    <row r="137" spans="1:9" x14ac:dyDescent="0.35">
      <c r="A137" s="4">
        <v>46143</v>
      </c>
      <c r="B137" s="10">
        <v>0.52083333333333337</v>
      </c>
      <c r="C137" s="10">
        <v>0.52777777777777779</v>
      </c>
      <c r="D137" s="5">
        <f>C137-B137</f>
        <v>6.9444444444444198E-3</v>
      </c>
      <c r="E137" s="6"/>
      <c r="F137" s="7" t="s">
        <v>12</v>
      </c>
      <c r="G137" s="7" t="str">
        <f>IF(F137="P1","Normal activity",IF(F137="P2","Clustering / aggregation",IF(F137="P3","Agitation",IF(F137="P4","Lethargy",IF(F137="P5","Jumping / splashing",IF(F137="P6","Reactivity to noise"))))))</f>
        <v>Clustering / aggregation</v>
      </c>
      <c r="H137" s="7" t="str">
        <f>IF(F137="P1","Regular swimming, even distribution",IF(F137="P2","Fish grouped in one corner",IF(F137="P3","Rapid swimming, escape behavior",IF(F137="P4","Little movement",IF(F137="P5","Jumping out of the water",IF(F137="P6","Reaction to a tool or impact"))))))</f>
        <v>Fish grouped in one corner</v>
      </c>
      <c r="I137" s="6" t="s">
        <v>103</v>
      </c>
    </row>
    <row r="138" spans="1:9" x14ac:dyDescent="0.35">
      <c r="A138" s="4">
        <v>46143</v>
      </c>
      <c r="B138" s="10">
        <v>0.52083333333333337</v>
      </c>
      <c r="C138" s="10">
        <v>0.52777777777777779</v>
      </c>
      <c r="D138" s="5">
        <f>C138-B138</f>
        <v>6.9444444444444198E-3</v>
      </c>
      <c r="E138" s="6" t="s">
        <v>27</v>
      </c>
      <c r="F138" s="7" t="s">
        <v>9</v>
      </c>
      <c r="G138" s="7" t="str">
        <f>IF(F138="P1","Normal activity",IF(F138="P2","Clustering / aggregation",IF(F138="P3","Agitation",IF(F138="P4","Lethargy",IF(F138="P5","Jumping / splashing",IF(F138="P6","Reactivity to noise"))))))</f>
        <v>Normal activity</v>
      </c>
      <c r="H138" s="7" t="str">
        <f>IF(F138="P1","Regular swimming, even distribution",IF(F138="P2","Fish grouped in one corner",IF(F138="P3","Rapid swimming, escape behavior",IF(F138="P4","Little movement",IF(F138="P5","Jumping out of the water",IF(F138="P6","Reaction to a tool or impact"))))))</f>
        <v>Regular swimming, even distribution</v>
      </c>
      <c r="I138" s="6" t="s">
        <v>104</v>
      </c>
    </row>
    <row r="139" spans="1:9" x14ac:dyDescent="0.35">
      <c r="A139" s="4">
        <v>46143</v>
      </c>
      <c r="B139" s="10">
        <v>0.52083333333333304</v>
      </c>
      <c r="C139" s="10">
        <v>0.52777777777777801</v>
      </c>
      <c r="D139" s="5">
        <f>C139-B139</f>
        <v>6.9444444444449749E-3</v>
      </c>
      <c r="E139" s="6" t="s">
        <v>28</v>
      </c>
      <c r="F139" s="7" t="s">
        <v>9</v>
      </c>
      <c r="G139" s="7" t="str">
        <f>IF(F139="P1","Normal activity",IF(F139="P2","Clustering / aggregation",IF(F139="P3","Agitation",IF(F139="P4","Lethargy",IF(F139="P5","Jumping / splashing",IF(F139="P6","Reactivity to noise"))))))</f>
        <v>Normal activity</v>
      </c>
      <c r="H139" s="7" t="str">
        <f>IF(F139="P1","Regular swimming, even distribution",IF(F139="P2","Fish grouped in one corner",IF(F139="P3","Rapid swimming, escape behavior",IF(F139="P4","Little movement",IF(F139="P5","Jumping out of the water",IF(F139="P6","Reaction to a tool or impact"))))))</f>
        <v>Regular swimming, even distribution</v>
      </c>
      <c r="I139" s="6" t="s">
        <v>105</v>
      </c>
    </row>
    <row r="140" spans="1:9" x14ac:dyDescent="0.35">
      <c r="A140" s="4">
        <v>46143</v>
      </c>
      <c r="B140" s="10">
        <v>0.52083333333333304</v>
      </c>
      <c r="C140" s="10">
        <v>0.52777777777777801</v>
      </c>
      <c r="D140" s="5">
        <f>C140-B140</f>
        <v>6.9444444444449749E-3</v>
      </c>
      <c r="E140" s="6" t="s">
        <v>29</v>
      </c>
      <c r="F140" s="7" t="s">
        <v>9</v>
      </c>
      <c r="G140" s="7" t="str">
        <f>IF(F140="P1","Normal activity",IF(F140="P2","Clustering / aggregation",IF(F140="P3","Agitation",IF(F140="P4","Lethargy",IF(F140="P5","Jumping / splashing",IF(F140="P6","Reactivity to noise"))))))</f>
        <v>Normal activity</v>
      </c>
      <c r="H140" s="7" t="str">
        <f>IF(F140="P1","Regular swimming, even distribution",IF(F140="P2","Fish grouped in one corner",IF(F140="P3","Rapid swimming, escape behavior",IF(F140="P4","Little movement",IF(F140="P5","Jumping out of the water",IF(F140="P6","Reaction to a tool or impact"))))))</f>
        <v>Regular swimming, even distribution</v>
      </c>
      <c r="I140" s="6" t="s">
        <v>106</v>
      </c>
    </row>
    <row r="141" spans="1:9" x14ac:dyDescent="0.35">
      <c r="A141" s="4">
        <v>46143</v>
      </c>
      <c r="B141" s="10">
        <v>0.59375</v>
      </c>
      <c r="C141" s="10">
        <v>0.60069444444444442</v>
      </c>
      <c r="D141" s="5">
        <f>C141-B141</f>
        <v>6.9444444444444198E-3</v>
      </c>
      <c r="E141" s="6" t="s">
        <v>31</v>
      </c>
      <c r="F141" s="7" t="s">
        <v>9</v>
      </c>
      <c r="G141" s="7" t="str">
        <f>IF(F141="P1","Normal activity",IF(F141="P2","Clustering / aggregation",IF(F141="P3","Agitation",IF(F141="P4","Lethargy",IF(F141="P5","Jumping / splashing",IF(F141="P6","Reactivity to noise"))))))</f>
        <v>Normal activity</v>
      </c>
      <c r="H141" s="7" t="str">
        <f>IF(F141="P1","Regular swimming, even distribution",IF(F141="P2","Fish grouped in one corner",IF(F141="P3","Rapid swimming, escape behavior",IF(F141="P4","Little movement",IF(F141="P5","Jumping out of the water",IF(F141="P6","Reaction to a tool or impact"))))))</f>
        <v>Regular swimming, even distribution</v>
      </c>
      <c r="I141" s="6" t="s">
        <v>107</v>
      </c>
    </row>
    <row r="142" spans="1:9" x14ac:dyDescent="0.35">
      <c r="A142" s="4">
        <v>46143</v>
      </c>
      <c r="B142" s="10">
        <v>0.52777777777777779</v>
      </c>
      <c r="C142" s="10">
        <v>0.53125</v>
      </c>
      <c r="D142" s="5">
        <f>C142-B142</f>
        <v>3.4722222222222099E-3</v>
      </c>
      <c r="E142" s="6" t="s">
        <v>108</v>
      </c>
      <c r="F142" s="7"/>
      <c r="G142" s="7" t="b">
        <f>IF(F142="P1","Normal activity",IF(F142="P2","Clustering / aggregation",IF(F142="P3","Agitation",IF(F142="P4","Lethargy",IF(F142="P5","Jumping / splashing",IF(F142="P6","Reactivity to noise"))))))</f>
        <v>0</v>
      </c>
      <c r="H142" s="7" t="b">
        <f>IF(F142="P1","Regular swimming, even distribution",IF(F142="P2","Fish grouped in one corner",IF(F142="P3","Rapid swimming, escape behavior",IF(F142="P4","Little movement",IF(F142="P5","Jumping out of the water",IF(F142="P6","Reaction to a tool or impact"))))))</f>
        <v>0</v>
      </c>
      <c r="I142" s="6" t="s">
        <v>40</v>
      </c>
    </row>
    <row r="143" spans="1:9" x14ac:dyDescent="0.35">
      <c r="A143" s="4">
        <v>46143</v>
      </c>
      <c r="B143" s="10">
        <v>0.53125</v>
      </c>
      <c r="C143" s="10">
        <v>0.53819444444444442</v>
      </c>
      <c r="D143" s="5">
        <f>C143-B143</f>
        <v>6.9444444444444198E-3</v>
      </c>
      <c r="E143" s="6" t="s">
        <v>27</v>
      </c>
      <c r="F143" s="7" t="s">
        <v>9</v>
      </c>
      <c r="G143" s="7" t="str">
        <f>IF(F143="P1","Normal activity",IF(F143="P2","Clustering / aggregation",IF(F143="P3","Agitation",IF(F143="P4","Lethargy",IF(F143="P5","Jumping / splashing",IF(F143="P6","Reactivity to noise"))))))</f>
        <v>Normal activity</v>
      </c>
      <c r="H143" s="7" t="str">
        <f>IF(F143="P1","Regular swimming, even distribution",IF(F143="P2","Fish grouped in one corner",IF(F143="P3","Rapid swimming, escape behavior",IF(F143="P4","Little movement",IF(F143="P5","Jumping out of the water",IF(F143="P6","Reaction to a tool or impact"))))))</f>
        <v>Regular swimming, even distribution</v>
      </c>
      <c r="I143" s="6"/>
    </row>
    <row r="144" spans="1:9" x14ac:dyDescent="0.35">
      <c r="A144" s="4">
        <v>46143</v>
      </c>
      <c r="B144" s="10">
        <v>0.53125</v>
      </c>
      <c r="C144" s="10">
        <v>0.53819444444444442</v>
      </c>
      <c r="D144" s="5">
        <f>C144-B144</f>
        <v>6.9444444444444198E-3</v>
      </c>
      <c r="E144" s="6" t="s">
        <v>28</v>
      </c>
      <c r="F144" s="7" t="s">
        <v>9</v>
      </c>
      <c r="G144" s="7" t="str">
        <f>IF(F144="P1","Normal activity",IF(F144="P2","Clustering / aggregation",IF(F144="P3","Agitation",IF(F144="P4","Lethargy",IF(F144="P5","Jumping / splashing",IF(F144="P6","Reactivity to noise"))))))</f>
        <v>Normal activity</v>
      </c>
      <c r="H144" s="7" t="str">
        <f>IF(F144="P1","Regular swimming, even distribution",IF(F144="P2","Fish grouped in one corner",IF(F144="P3","Rapid swimming, escape behavior",IF(F144="P4","Little movement",IF(F144="P5","Jumping out of the water",IF(F144="P6","Reaction to a tool or impact"))))))</f>
        <v>Regular swimming, even distribution</v>
      </c>
      <c r="I144" s="6" t="s">
        <v>109</v>
      </c>
    </row>
    <row r="145" spans="1:9" x14ac:dyDescent="0.35">
      <c r="A145" s="4">
        <v>46143</v>
      </c>
      <c r="B145" s="10">
        <v>0.53125</v>
      </c>
      <c r="C145" s="10">
        <v>0.53819444444444442</v>
      </c>
      <c r="D145" s="5">
        <f>C145-B145</f>
        <v>6.9444444444444198E-3</v>
      </c>
      <c r="E145" s="6" t="s">
        <v>29</v>
      </c>
      <c r="F145" s="7" t="s">
        <v>9</v>
      </c>
      <c r="G145" s="7" t="str">
        <f>IF(F145="P1","Normal activity",IF(F145="P2","Clustering / aggregation",IF(F145="P3","Agitation",IF(F145="P4","Lethargy",IF(F145="P5","Jumping / splashing",IF(F145="P6","Reactivity to noise"))))))</f>
        <v>Normal activity</v>
      </c>
      <c r="H145" s="7" t="str">
        <f>IF(F145="P1","Regular swimming, even distribution",IF(F145="P2","Fish grouped in one corner",IF(F145="P3","Rapid swimming, escape behavior",IF(F145="P4","Little movement",IF(F145="P5","Jumping out of the water",IF(F145="P6","Reaction to a tool or impact"))))))</f>
        <v>Regular swimming, even distribution</v>
      </c>
      <c r="I145" s="6" t="s">
        <v>110</v>
      </c>
    </row>
    <row r="146" spans="1:9" x14ac:dyDescent="0.35">
      <c r="A146" s="4">
        <v>46143</v>
      </c>
      <c r="B146" s="10">
        <v>0.53125</v>
      </c>
      <c r="C146" s="10">
        <v>0.53819444444444442</v>
      </c>
      <c r="D146" s="5">
        <f>C146-B146</f>
        <v>6.9444444444444198E-3</v>
      </c>
      <c r="E146" s="6" t="s">
        <v>31</v>
      </c>
      <c r="F146" s="7" t="s">
        <v>9</v>
      </c>
      <c r="G146" s="7" t="str">
        <f>IF(F146="P1","Normal activity",IF(F146="P2","Clustering / aggregation",IF(F146="P3","Agitation",IF(F146="P4","Lethargy",IF(F146="P5","Jumping / splashing",IF(F146="P6","Reactivity to noise"))))))</f>
        <v>Normal activity</v>
      </c>
      <c r="H146" s="7" t="str">
        <f>IF(F146="P1","Regular swimming, even distribution",IF(F146="P2","Fish grouped in one corner",IF(F146="P3","Rapid swimming, escape behavior",IF(F146="P4","Little movement",IF(F146="P5","Jumping out of the water",IF(F146="P6","Reaction to a tool or impact"))))))</f>
        <v>Regular swimming, even distribution</v>
      </c>
      <c r="I146" s="6" t="s">
        <v>111</v>
      </c>
    </row>
    <row r="147" spans="1:9" x14ac:dyDescent="0.35">
      <c r="A147" s="4">
        <v>46143</v>
      </c>
      <c r="B147" s="10">
        <v>0.58333333333333337</v>
      </c>
      <c r="C147" s="10">
        <v>0.59027777777777779</v>
      </c>
      <c r="D147" s="5">
        <f>C147-B147</f>
        <v>6.9444444444444198E-3</v>
      </c>
      <c r="E147" s="6" t="s">
        <v>27</v>
      </c>
      <c r="F147" s="7" t="s">
        <v>9</v>
      </c>
      <c r="G147" s="7" t="str">
        <f>IF(F147="P1","Normal activity",IF(F147="P2","Clustering / aggregation",IF(F147="P3","Agitation",IF(F147="P4","Lethargy",IF(F147="P5","Jumping / splashing",IF(F147="P6","Reactivity to noise"))))))</f>
        <v>Normal activity</v>
      </c>
      <c r="H147" s="7" t="str">
        <f>IF(F147="P1","Regular swimming, even distribution",IF(F147="P2","Fish grouped in one corner",IF(F147="P3","Rapid swimming, escape behavior",IF(F147="P4","Little movement",IF(F147="P5","Jumping out of the water",IF(F147="P6","Reaction to a tool or impact"))))))</f>
        <v>Regular swimming, even distribution</v>
      </c>
      <c r="I147" s="6" t="s">
        <v>112</v>
      </c>
    </row>
    <row r="148" spans="1:9" x14ac:dyDescent="0.35">
      <c r="A148" s="4">
        <v>46143</v>
      </c>
      <c r="B148" s="10">
        <v>0.58333333333333337</v>
      </c>
      <c r="C148" s="10">
        <v>0.59027777777777779</v>
      </c>
      <c r="D148" s="5">
        <f>C148-B148</f>
        <v>6.9444444444444198E-3</v>
      </c>
      <c r="E148" s="6" t="s">
        <v>28</v>
      </c>
      <c r="F148" s="7" t="s">
        <v>9</v>
      </c>
      <c r="G148" s="7" t="str">
        <f>IF(F148="P1","Normal activity",IF(F148="P2","Clustering / aggregation",IF(F148="P3","Agitation",IF(F148="P4","Lethargy",IF(F148="P5","Jumping / splashing",IF(F148="P6","Reactivity to noise"))))))</f>
        <v>Normal activity</v>
      </c>
      <c r="H148" s="7" t="str">
        <f>IF(F148="P1","Regular swimming, even distribution",IF(F148="P2","Fish grouped in one corner",IF(F148="P3","Rapid swimming, escape behavior",IF(F148="P4","Little movement",IF(F148="P5","Jumping out of the water",IF(F148="P6","Reaction to a tool or impact"))))))</f>
        <v>Regular swimming, even distribution</v>
      </c>
      <c r="I148" s="6" t="s">
        <v>113</v>
      </c>
    </row>
    <row r="149" spans="1:9" x14ac:dyDescent="0.35">
      <c r="A149" s="4">
        <v>46143</v>
      </c>
      <c r="B149" s="10">
        <v>0.58333333333333337</v>
      </c>
      <c r="C149" s="10">
        <v>0.59027777777777779</v>
      </c>
      <c r="D149" s="5">
        <f>C149-B149</f>
        <v>6.9444444444444198E-3</v>
      </c>
      <c r="E149" s="6" t="s">
        <v>29</v>
      </c>
      <c r="F149" s="7" t="s">
        <v>9</v>
      </c>
      <c r="G149" s="7" t="str">
        <f>IF(F149="P1","Normal activity",IF(F149="P2","Clustering / aggregation",IF(F149="P3","Agitation",IF(F149="P4","Lethargy",IF(F149="P5","Jumping / splashing",IF(F149="P6","Reactivity to noise"))))))</f>
        <v>Normal activity</v>
      </c>
      <c r="H149" s="7" t="str">
        <f>IF(F149="P1","Regular swimming, even distribution",IF(F149="P2","Fish grouped in one corner",IF(F149="P3","Rapid swimming, escape behavior",IF(F149="P4","Little movement",IF(F149="P5","Jumping out of the water",IF(F149="P6","Reaction to a tool or impact"))))))</f>
        <v>Regular swimming, even distribution</v>
      </c>
      <c r="I149" s="6"/>
    </row>
    <row r="150" spans="1:9" x14ac:dyDescent="0.35">
      <c r="A150" s="4">
        <v>46143</v>
      </c>
      <c r="B150" s="10">
        <v>0.58333333333333337</v>
      </c>
      <c r="C150" s="10">
        <v>0.59027777777777779</v>
      </c>
      <c r="D150" s="5">
        <f>C150-B150</f>
        <v>6.9444444444444198E-3</v>
      </c>
      <c r="E150" s="6" t="s">
        <v>31</v>
      </c>
      <c r="F150" s="7" t="s">
        <v>9</v>
      </c>
      <c r="G150" s="7" t="str">
        <f>IF(F150="P1","Normal activity",IF(F150="P2","Clustering / aggregation",IF(F150="P3","Agitation",IF(F150="P4","Lethargy",IF(F150="P5","Jumping / splashing",IF(F150="P6","Reactivity to noise"))))))</f>
        <v>Normal activity</v>
      </c>
      <c r="H150" s="7" t="str">
        <f>IF(F150="P1","Regular swimming, even distribution",IF(F150="P2","Fish grouped in one corner",IF(F150="P3","Rapid swimming, escape behavior",IF(F150="P4","Little movement",IF(F150="P5","Jumping out of the water",IF(F150="P6","Reaction to a tool or impact"))))))</f>
        <v>Regular swimming, even distribution</v>
      </c>
      <c r="I150" s="6" t="s">
        <v>114</v>
      </c>
    </row>
    <row r="151" spans="1:9" x14ac:dyDescent="0.35">
      <c r="A151" s="4">
        <v>46143</v>
      </c>
      <c r="B151" s="10">
        <v>0.59027777777777779</v>
      </c>
      <c r="C151" s="10">
        <v>0.59375</v>
      </c>
      <c r="D151" s="5">
        <f>C151-B151</f>
        <v>3.4722222222222099E-3</v>
      </c>
      <c r="E151" s="6" t="s">
        <v>108</v>
      </c>
      <c r="F151" s="7"/>
      <c r="G151" s="7" t="b">
        <f>IF(F151="P1","Normal activity",IF(F151="P2","Clustering / aggregation",IF(F151="P3","Agitation",IF(F151="P4","Lethargy",IF(F151="P5","Jumping / splashing",IF(F151="P6","Reactivity to noise"))))))</f>
        <v>0</v>
      </c>
      <c r="H151" s="7" t="b">
        <f>IF(F151="P1","Regular swimming, even distribution",IF(F151="P2","Fish grouped in one corner",IF(F151="P3","Rapid swimming, escape behavior",IF(F151="P4","Little movement",IF(F151="P5","Jumping out of the water",IF(F151="P6","Reaction to a tool or impact"))))))</f>
        <v>0</v>
      </c>
      <c r="I151" s="6" t="s">
        <v>40</v>
      </c>
    </row>
    <row r="152" spans="1:9" x14ac:dyDescent="0.35">
      <c r="A152" s="4">
        <v>46143</v>
      </c>
      <c r="B152" s="10">
        <v>0.59375</v>
      </c>
      <c r="C152" s="10">
        <v>0.60069444444444442</v>
      </c>
      <c r="D152" s="5">
        <f>C152-B152</f>
        <v>6.9444444444444198E-3</v>
      </c>
      <c r="E152" s="6" t="s">
        <v>27</v>
      </c>
      <c r="F152" s="7" t="s">
        <v>9</v>
      </c>
      <c r="G152" s="7" t="str">
        <f>IF(F152="P1","Normal activity",IF(F152="P2","Clustering / aggregation",IF(F152="P3","Agitation",IF(F152="P4","Lethargy",IF(F152="P5","Jumping / splashing",IF(F152="P6","Reactivity to noise"))))))</f>
        <v>Normal activity</v>
      </c>
      <c r="H152" s="7" t="str">
        <f>IF(F152="P1","Regular swimming, even distribution",IF(F152="P2","Fish grouped in one corner",IF(F152="P3","Rapid swimming, escape behavior",IF(F152="P4","Little movement",IF(F152="P5","Jumping out of the water",IF(F152="P6","Reaction to a tool or impact"))))))</f>
        <v>Regular swimming, even distribution</v>
      </c>
      <c r="I152" s="6" t="s">
        <v>115</v>
      </c>
    </row>
    <row r="153" spans="1:9" x14ac:dyDescent="0.35">
      <c r="A153" s="4">
        <v>46143</v>
      </c>
      <c r="B153" s="10">
        <v>0.59375</v>
      </c>
      <c r="C153" s="10">
        <v>0.60069444444444442</v>
      </c>
      <c r="D153" s="5">
        <f>C153-B153</f>
        <v>6.9444444444444198E-3</v>
      </c>
      <c r="E153" s="6" t="s">
        <v>28</v>
      </c>
      <c r="F153" s="7" t="s">
        <v>9</v>
      </c>
      <c r="G153" s="7" t="str">
        <f>IF(F153="P1","Normal activity",IF(F153="P2","Clustering / aggregation",IF(F153="P3","Agitation",IF(F153="P4","Lethargy",IF(F153="P5","Jumping / splashing",IF(F153="P6","Reactivity to noise"))))))</f>
        <v>Normal activity</v>
      </c>
      <c r="H153" s="7" t="str">
        <f>IF(F153="P1","Regular swimming, even distribution",IF(F153="P2","Fish grouped in one corner",IF(F153="P3","Rapid swimming, escape behavior",IF(F153="P4","Little movement",IF(F153="P5","Jumping out of the water",IF(F153="P6","Reaction to a tool or impact"))))))</f>
        <v>Regular swimming, even distribution</v>
      </c>
      <c r="I153" s="6"/>
    </row>
    <row r="154" spans="1:9" x14ac:dyDescent="0.35">
      <c r="A154" s="4">
        <v>46143</v>
      </c>
      <c r="B154" s="10">
        <v>0.59375</v>
      </c>
      <c r="C154" s="10">
        <v>0.60069444444444442</v>
      </c>
      <c r="D154" s="5">
        <f>C154-B154</f>
        <v>6.9444444444444198E-3</v>
      </c>
      <c r="E154" s="6" t="s">
        <v>29</v>
      </c>
      <c r="F154" s="7" t="s">
        <v>9</v>
      </c>
      <c r="G154" s="7" t="str">
        <f>IF(F154="P1","Normal activity",IF(F154="P2","Clustering / aggregation",IF(F154="P3","Agitation",IF(F154="P4","Lethargy",IF(F154="P5","Jumping / splashing",IF(F154="P6","Reactivity to noise"))))))</f>
        <v>Normal activity</v>
      </c>
      <c r="H154" s="7" t="str">
        <f>IF(F154="P1","Regular swimming, even distribution",IF(F154="P2","Fish grouped in one corner",IF(F154="P3","Rapid swimming, escape behavior",IF(F154="P4","Little movement",IF(F154="P5","Jumping out of the water",IF(F154="P6","Reaction to a tool or impact"))))))</f>
        <v>Regular swimming, even distribution</v>
      </c>
      <c r="I154" s="6" t="s">
        <v>116</v>
      </c>
    </row>
    <row r="155" spans="1:9" x14ac:dyDescent="0.35">
      <c r="A155" s="4">
        <v>46143</v>
      </c>
      <c r="B155" s="10">
        <v>0.59375</v>
      </c>
      <c r="C155" s="10">
        <v>0.60069444444444398</v>
      </c>
      <c r="D155" s="5">
        <f>C155-B155</f>
        <v>6.9444444444439757E-3</v>
      </c>
      <c r="E155" s="6" t="s">
        <v>31</v>
      </c>
      <c r="F155" s="7" t="s">
        <v>9</v>
      </c>
      <c r="G155" s="7" t="str">
        <f>IF(F155="P1","Normal activity",IF(F155="P2","Clustering / aggregation",IF(F155="P3","Agitation",IF(F155="P4","Lethargy",IF(F155="P5","Jumping / splashing",IF(F155="P6","Reactivity to noise"))))))</f>
        <v>Normal activity</v>
      </c>
      <c r="H155" s="7" t="str">
        <f>IF(F155="P1","Regular swimming, even distribution",IF(F155="P2","Fish grouped in one corner",IF(F155="P3","Rapid swimming, escape behavior",IF(F155="P4","Little movement",IF(F155="P5","Jumping out of the water",IF(F155="P6","Reaction to a tool or impact"))))))</f>
        <v>Regular swimming, even distribution</v>
      </c>
      <c r="I155" s="6" t="s">
        <v>106</v>
      </c>
    </row>
    <row r="156" spans="1:9" x14ac:dyDescent="0.35">
      <c r="A156" s="4">
        <v>46151</v>
      </c>
      <c r="B156" s="10">
        <v>0.36805555555555558</v>
      </c>
      <c r="C156" s="10">
        <v>0.36944444444444446</v>
      </c>
      <c r="D156" s="5">
        <f>C156-B156</f>
        <v>1.388888888888884E-3</v>
      </c>
      <c r="E156" s="6" t="s">
        <v>27</v>
      </c>
      <c r="F156" s="7" t="s">
        <v>9</v>
      </c>
      <c r="G156" s="7" t="str">
        <f>IF(F156="P1","Normal activity",IF(F156="P2","Clustering / aggregation",IF(F156="P3","Agitation",IF(F156="P4","Lethargy",IF(F156="P5","Jumping / splashing",IF(F156="P6","Reactivity to noise"))))))</f>
        <v>Normal activity</v>
      </c>
      <c r="H156" s="7" t="str">
        <f>IF(F156="P1","Regular swimming, even distribution",IF(F156="P2","Fish grouped in one corner",IF(F156="P3","Rapid swimming, escape behavior",IF(F156="P4","Little movement",IF(F156="P5","Jumping out of the water",IF(F156="P6","Reaction to a tool or impact"))))))</f>
        <v>Regular swimming, even distribution</v>
      </c>
      <c r="I156" s="6"/>
    </row>
    <row r="157" spans="1:9" x14ac:dyDescent="0.35">
      <c r="A157" s="4">
        <v>46151</v>
      </c>
      <c r="B157" s="10">
        <v>0.36805555555555558</v>
      </c>
      <c r="C157" s="10">
        <v>0.36944444444444446</v>
      </c>
      <c r="D157" s="5">
        <f>C157-B157</f>
        <v>1.388888888888884E-3</v>
      </c>
      <c r="E157" s="6" t="s">
        <v>27</v>
      </c>
      <c r="F157" s="7" t="s">
        <v>12</v>
      </c>
      <c r="G157" s="7" t="str">
        <f>IF(F157="P1","Normal activity",IF(F157="P2","Clustering / aggregation",IF(F157="P3","Agitation",IF(F157="P4","Lethargy",IF(F157="P5","Jumping / splashing",IF(F157="P6","Reactivity to noise"))))))</f>
        <v>Clustering / aggregation</v>
      </c>
      <c r="H157" s="7" t="str">
        <f>IF(F157="P1","Regular swimming, even distribution",IF(F157="P2","Fish grouped in one corner",IF(F157="P3","Rapid swimming, escape behavior",IF(F157="P4","Little movement",IF(F157="P5","Jumping out of the water",IF(F157="P6","Reaction to a tool or impact"))))))</f>
        <v>Fish grouped in one corner</v>
      </c>
      <c r="I157" s="6" t="s">
        <v>117</v>
      </c>
    </row>
    <row r="158" spans="1:9" x14ac:dyDescent="0.35">
      <c r="A158" s="4">
        <v>46151</v>
      </c>
      <c r="B158" s="10">
        <v>0.37013888888888891</v>
      </c>
      <c r="C158" s="10">
        <v>0.37152777777777779</v>
      </c>
      <c r="D158" s="5">
        <f>C158-B158</f>
        <v>1.388888888888884E-3</v>
      </c>
      <c r="E158" s="6" t="s">
        <v>28</v>
      </c>
      <c r="F158" s="7" t="s">
        <v>9</v>
      </c>
      <c r="G158" s="7" t="str">
        <f>IF(F158="P1","Normal activity",IF(F158="P2","Clustering / aggregation",IF(F158="P3","Agitation",IF(F158="P4","Lethargy",IF(F158="P5","Jumping / splashing",IF(F158="P6","Reactivity to noise"))))))</f>
        <v>Normal activity</v>
      </c>
      <c r="H158" s="7" t="str">
        <f>IF(F158="P1","Regular swimming, even distribution",IF(F158="P2","Fish grouped in one corner",IF(F158="P3","Rapid swimming, escape behavior",IF(F158="P4","Little movement",IF(F158="P5","Jumping out of the water",IF(F158="P6","Reaction to a tool or impact"))))))</f>
        <v>Regular swimming, even distribution</v>
      </c>
      <c r="I158" s="6"/>
    </row>
    <row r="159" spans="1:9" x14ac:dyDescent="0.35">
      <c r="A159" s="4">
        <v>46151</v>
      </c>
      <c r="B159" s="10">
        <v>0.37152777777777779</v>
      </c>
      <c r="C159" s="10">
        <v>0.37291666666666667</v>
      </c>
      <c r="D159" s="5">
        <f>C159-B159</f>
        <v>1.388888888888884E-3</v>
      </c>
      <c r="E159" s="6" t="s">
        <v>29</v>
      </c>
      <c r="F159" s="7" t="s">
        <v>12</v>
      </c>
      <c r="G159" s="7" t="str">
        <f>IF(F159="P1","Normal activity",IF(F159="P2","Clustering / aggregation",IF(F159="P3","Agitation",IF(F159="P4","Lethargy",IF(F159="P5","Jumping / splashing",IF(F159="P6","Reactivity to noise"))))))</f>
        <v>Clustering / aggregation</v>
      </c>
      <c r="H159" s="7" t="str">
        <f>IF(F159="P1","Regular swimming, even distribution",IF(F159="P2","Fish grouped in one corner",IF(F159="P3","Rapid swimming, escape behavior",IF(F159="P4","Little movement",IF(F159="P5","Jumping out of the water",IF(F159="P6","Reaction to a tool or impact"))))))</f>
        <v>Fish grouped in one corner</v>
      </c>
      <c r="I159" s="6" t="s">
        <v>118</v>
      </c>
    </row>
    <row r="160" spans="1:9" x14ac:dyDescent="0.35">
      <c r="A160" s="4">
        <v>46151</v>
      </c>
      <c r="B160" s="10">
        <v>0.37152777777777779</v>
      </c>
      <c r="C160" s="10">
        <v>0.37291666666666667</v>
      </c>
      <c r="D160" s="5">
        <f>C160-B160</f>
        <v>1.388888888888884E-3</v>
      </c>
      <c r="E160" s="6" t="s">
        <v>29</v>
      </c>
      <c r="F160" s="7" t="s">
        <v>21</v>
      </c>
      <c r="G160" s="7" t="str">
        <f>IF(F160="P1","Normal activity",IF(F160="P2","Clustering / aggregation",IF(F160="P3","Agitation",IF(F160="P4","Lethargy",IF(F160="P5","Jumping / splashing",IF(F160="P6","Reactivity to noise"))))))</f>
        <v>Jumping / splashing</v>
      </c>
      <c r="H160" s="7" t="str">
        <f>IF(F160="P1","Regular swimming, even distribution",IF(F160="P2","Fish grouped in one corner",IF(F160="P3","Rapid swimming, escape behavior",IF(F160="P4","Little movement",IF(F160="P5","Jumping out of the water",IF(F160="P6","Reaction to a tool or impact"))))))</f>
        <v>Jumping out of the water</v>
      </c>
      <c r="I160" s="6" t="s">
        <v>119</v>
      </c>
    </row>
    <row r="161" spans="1:9" x14ac:dyDescent="0.35">
      <c r="A161" s="4">
        <v>46151</v>
      </c>
      <c r="B161" s="10">
        <v>0.37152777777777779</v>
      </c>
      <c r="C161" s="10">
        <v>0.37291666666666667</v>
      </c>
      <c r="D161" s="5">
        <f>C161-B161</f>
        <v>1.388888888888884E-3</v>
      </c>
      <c r="E161" s="6" t="s">
        <v>29</v>
      </c>
      <c r="F161" s="7" t="s">
        <v>15</v>
      </c>
      <c r="G161" s="7" t="str">
        <f>IF(F161="P1","Normal activity",IF(F161="P2","Clustering / aggregation",IF(F161="P3","Agitation",IF(F161="P4","Lethargy",IF(F161="P5","Jumping / splashing",IF(F161="P6","Reactivity to noise"))))))</f>
        <v>Agitation</v>
      </c>
      <c r="H161" s="7" t="str">
        <f>IF(F161="P1","Regular swimming, even distribution",IF(F161="P2","Fish grouped in one corner",IF(F161="P3","Rapid swimming, escape behavior",IF(F161="P4","Little movement",IF(F161="P5","Jumping out of the water",IF(F161="P6","Reaction to a tool or impact"))))))</f>
        <v>Rapid swimming, escape behavior</v>
      </c>
      <c r="I161" s="6" t="s">
        <v>120</v>
      </c>
    </row>
    <row r="162" spans="1:9" x14ac:dyDescent="0.35">
      <c r="A162" s="4">
        <v>46151</v>
      </c>
      <c r="B162" s="10">
        <v>0.37152777777777779</v>
      </c>
      <c r="C162" s="10">
        <v>0.37291666666666667</v>
      </c>
      <c r="D162" s="5">
        <f>C162-B162</f>
        <v>1.388888888888884E-3</v>
      </c>
      <c r="E162" s="6" t="s">
        <v>108</v>
      </c>
      <c r="F162" s="7"/>
      <c r="G162" s="7" t="b">
        <f>IF(F162="P1","Normal activity",IF(F162="P2","Clustering / aggregation",IF(F162="P3","Agitation",IF(F162="P4","Lethargy",IF(F162="P5","Jumping / splashing",IF(F162="P6","Reactivity to noise"))))))</f>
        <v>0</v>
      </c>
      <c r="H162" s="7" t="b">
        <f>IF(F162="P1","Regular swimming, even distribution",IF(F162="P2","Fish grouped in one corner",IF(F162="P3","Rapid swimming, escape behavior",IF(F162="P4","Little movement",IF(F162="P5","Jumping out of the water",IF(F162="P6","Reaction to a tool or impact"))))))</f>
        <v>0</v>
      </c>
      <c r="I162" s="6" t="s">
        <v>40</v>
      </c>
    </row>
    <row r="163" spans="1:9" x14ac:dyDescent="0.35">
      <c r="A163" s="4">
        <v>46151</v>
      </c>
      <c r="B163" s="10">
        <v>0.37291666666666667</v>
      </c>
      <c r="C163" s="10">
        <v>0.37430555555555556</v>
      </c>
      <c r="D163" s="5">
        <f>C163-B163</f>
        <v>1.388888888888884E-3</v>
      </c>
      <c r="E163" s="6" t="s">
        <v>27</v>
      </c>
      <c r="F163" s="7" t="s">
        <v>9</v>
      </c>
      <c r="G163" s="7" t="str">
        <f>IF(F163="P1","Normal activity",IF(F163="P2","Clustering / aggregation",IF(F163="P3","Agitation",IF(F163="P4","Lethargy",IF(F163="P5","Jumping / splashing",IF(F163="P6","Reactivity to noise"))))))</f>
        <v>Normal activity</v>
      </c>
      <c r="H163" s="7" t="str">
        <f>IF(F163="P1","Regular swimming, even distribution",IF(F163="P2","Fish grouped in one corner",IF(F163="P3","Rapid swimming, escape behavior",IF(F163="P4","Little movement",IF(F163="P5","Jumping out of the water",IF(F163="P6","Reaction to a tool or impact"))))))</f>
        <v>Regular swimming, even distribution</v>
      </c>
      <c r="I163" s="6"/>
    </row>
    <row r="164" spans="1:9" x14ac:dyDescent="0.35">
      <c r="A164" s="4">
        <v>46151</v>
      </c>
      <c r="B164" s="10">
        <v>0.37291666666666667</v>
      </c>
      <c r="C164" s="10">
        <v>0.37430555555555556</v>
      </c>
      <c r="D164" s="5">
        <f>C164-B164</f>
        <v>1.388888888888884E-3</v>
      </c>
      <c r="E164" s="6" t="s">
        <v>28</v>
      </c>
      <c r="F164" s="7" t="s">
        <v>15</v>
      </c>
      <c r="G164" s="7" t="str">
        <f>IF(F164="P1","Normal activity",IF(F164="P2","Clustering / aggregation",IF(F164="P3","Agitation",IF(F164="P4","Lethargy",IF(F164="P5","Jumping / splashing",IF(F164="P6","Reactivity to noise"))))))</f>
        <v>Agitation</v>
      </c>
      <c r="H164" s="7" t="str">
        <f>IF(F164="P1","Regular swimming, even distribution",IF(F164="P2","Fish grouped in one corner",IF(F164="P3","Rapid swimming, escape behavior",IF(F164="P4","Little movement",IF(F164="P5","Jumping out of the water",IF(F164="P6","Reaction to a tool or impact"))))))</f>
        <v>Rapid swimming, escape behavior</v>
      </c>
      <c r="I164" s="6" t="s">
        <v>121</v>
      </c>
    </row>
    <row r="165" spans="1:9" x14ac:dyDescent="0.35">
      <c r="A165" s="4">
        <v>46151</v>
      </c>
      <c r="B165" s="10">
        <v>0.37291666666666667</v>
      </c>
      <c r="C165" s="10">
        <v>0.37430555555555556</v>
      </c>
      <c r="D165" s="5">
        <f>C165-B165</f>
        <v>1.388888888888884E-3</v>
      </c>
      <c r="E165" s="6" t="s">
        <v>29</v>
      </c>
      <c r="F165" s="7" t="s">
        <v>18</v>
      </c>
      <c r="G165" s="7" t="str">
        <f>IF(F165="P1","Normal activity",IF(F165="P2","Clustering / aggregation",IF(F165="P3","Agitation",IF(F165="P4","Lethargy",IF(F165="P5","Jumping / splashing",IF(F165="P6","Reactivity to noise"))))))</f>
        <v>Lethargy</v>
      </c>
      <c r="H165" s="7" t="str">
        <f>IF(F165="P1","Regular swimming, even distribution",IF(F165="P2","Fish grouped in one corner",IF(F165="P3","Rapid swimming, escape behavior",IF(F165="P4","Little movement",IF(F165="P5","Jumping out of the water",IF(F165="P6","Reaction to a tool or impact"))))))</f>
        <v>Little movement</v>
      </c>
      <c r="I165" s="6" t="s">
        <v>122</v>
      </c>
    </row>
    <row r="166" spans="1:9" x14ac:dyDescent="0.35">
      <c r="A166" s="4">
        <v>46151</v>
      </c>
      <c r="B166" s="10">
        <v>0.37291666666666701</v>
      </c>
      <c r="C166" s="10">
        <v>0.374305555555556</v>
      </c>
      <c r="D166" s="5">
        <f>C166-B166</f>
        <v>1.388888888888995E-3</v>
      </c>
      <c r="E166" s="6" t="s">
        <v>31</v>
      </c>
      <c r="F166" s="7" t="s">
        <v>9</v>
      </c>
      <c r="G166" s="7" t="str">
        <f>IF(F166="P1","Normal activity",IF(F166="P2","Clustering / aggregation",IF(F166="P3","Agitation",IF(F166="P4","Lethargy",IF(F166="P5","Jumping / splashing",IF(F166="P6","Reactivity to noise"))))))</f>
        <v>Normal activity</v>
      </c>
      <c r="H166" s="7" t="str">
        <f>IF(F166="P1","Regular swimming, even distribution",IF(F166="P2","Fish grouped in one corner",IF(F166="P3","Rapid swimming, escape behavior",IF(F166="P4","Little movement",IF(F166="P5","Jumping out of the water",IF(F166="P6","Reaction to a tool or impact"))))))</f>
        <v>Regular swimming, even distribution</v>
      </c>
      <c r="I166" s="6"/>
    </row>
    <row r="167" spans="1:9" x14ac:dyDescent="0.35">
      <c r="A167" s="4">
        <v>46151</v>
      </c>
      <c r="B167" s="10">
        <v>0.37986111111111109</v>
      </c>
      <c r="C167" s="10">
        <v>0.38124999999999998</v>
      </c>
      <c r="D167" s="5">
        <f>C167-B167</f>
        <v>1.388888888888884E-3</v>
      </c>
      <c r="E167" s="6" t="s">
        <v>27</v>
      </c>
      <c r="F167" s="7" t="s">
        <v>18</v>
      </c>
      <c r="G167" s="7" t="str">
        <f>IF(F167="P1","Normal activity",IF(F167="P2","Clustering / aggregation",IF(F167="P3","Agitation",IF(F167="P4","Lethargy",IF(F167="P5","Jumping / splashing",IF(F167="P6","Reactivity to noise"))))))</f>
        <v>Lethargy</v>
      </c>
      <c r="H167" s="7" t="str">
        <f>IF(F167="P1","Regular swimming, even distribution",IF(F167="P2","Fish grouped in one corner",IF(F167="P3","Rapid swimming, escape behavior",IF(F167="P4","Little movement",IF(F167="P5","Jumping out of the water",IF(F167="P6","Reaction to a tool or impact"))))))</f>
        <v>Little movement</v>
      </c>
      <c r="I167" s="6" t="s">
        <v>123</v>
      </c>
    </row>
    <row r="168" spans="1:9" x14ac:dyDescent="0.35">
      <c r="A168" s="4">
        <v>46151</v>
      </c>
      <c r="B168" s="10">
        <v>0.37986111111111109</v>
      </c>
      <c r="C168" s="10">
        <v>0.38124999999999998</v>
      </c>
      <c r="D168" s="5">
        <f>C168-B168</f>
        <v>1.388888888888884E-3</v>
      </c>
      <c r="E168" s="6" t="s">
        <v>28</v>
      </c>
      <c r="F168" s="7" t="s">
        <v>9</v>
      </c>
      <c r="G168" s="7" t="str">
        <f>IF(F168="P1","Normal activity",IF(F168="P2","Clustering / aggregation",IF(F168="P3","Agitation",IF(F168="P4","Lethargy",IF(F168="P5","Jumping / splashing",IF(F168="P6","Reactivity to noise"))))))</f>
        <v>Normal activity</v>
      </c>
      <c r="H168" s="7" t="str">
        <f>IF(F168="P1","Regular swimming, even distribution",IF(F168="P2","Fish grouped in one corner",IF(F168="P3","Rapid swimming, escape behavior",IF(F168="P4","Little movement",IF(F168="P5","Jumping out of the water",IF(F168="P6","Reaction to a tool or impact"))))))</f>
        <v>Regular swimming, even distribution</v>
      </c>
      <c r="I168" s="6"/>
    </row>
    <row r="169" spans="1:9" x14ac:dyDescent="0.35">
      <c r="A169" s="4">
        <v>46151</v>
      </c>
      <c r="B169" s="10">
        <v>0.38194444444444442</v>
      </c>
      <c r="C169" s="10">
        <v>0.38333333333333336</v>
      </c>
      <c r="D169" s="5">
        <f>C169-B169</f>
        <v>1.3888888888889395E-3</v>
      </c>
      <c r="E169" s="6" t="s">
        <v>29</v>
      </c>
      <c r="F169" s="7" t="s">
        <v>9</v>
      </c>
      <c r="G169" s="7" t="str">
        <f>IF(F169="P1","Normal activity",IF(F169="P2","Clustering / aggregation",IF(F169="P3","Agitation",IF(F169="P4","Lethargy",IF(F169="P5","Jumping / splashing",IF(F169="P6","Reactivity to noise"))))))</f>
        <v>Normal activity</v>
      </c>
      <c r="H169" s="7" t="str">
        <f>IF(F169="P1","Regular swimming, even distribution",IF(F169="P2","Fish grouped in one corner",IF(F169="P3","Rapid swimming, escape behavior",IF(F169="P4","Little movement",IF(F169="P5","Jumping out of the water",IF(F169="P6","Reaction to a tool or impact"))))))</f>
        <v>Regular swimming, even distribution</v>
      </c>
      <c r="I169" s="6"/>
    </row>
    <row r="170" spans="1:9" x14ac:dyDescent="0.35">
      <c r="A170" s="4">
        <v>46151</v>
      </c>
      <c r="B170" s="10">
        <v>0.43055555555555558</v>
      </c>
      <c r="C170" s="10">
        <v>0.43194444444444446</v>
      </c>
      <c r="D170" s="5">
        <f>C170-B170</f>
        <v>1.388888888888884E-3</v>
      </c>
      <c r="E170" s="6" t="s">
        <v>31</v>
      </c>
      <c r="F170" s="7" t="s">
        <v>9</v>
      </c>
      <c r="G170" s="7" t="str">
        <f>IF(F170="P1","Normal activity",IF(F170="P2","Clustering / aggregation",IF(F170="P3","Agitation",IF(F170="P4","Lethargy",IF(F170="P5","Jumping / splashing",IF(F170="P6","Reactivity to noise"))))))</f>
        <v>Normal activity</v>
      </c>
      <c r="H170" s="7" t="str">
        <f>IF(F170="P1","Regular swimming, even distribution",IF(F170="P2","Fish grouped in one corner",IF(F170="P3","Rapid swimming, escape behavior",IF(F170="P4","Little movement",IF(F170="P5","Jumping out of the water",IF(F170="P6","Reaction to a tool or impact"))))))</f>
        <v>Regular swimming, even distribution</v>
      </c>
      <c r="I170" s="6"/>
    </row>
    <row r="171" spans="1:9" x14ac:dyDescent="0.35">
      <c r="A171" s="4">
        <v>46151</v>
      </c>
      <c r="B171" s="10">
        <v>0.43055555555555558</v>
      </c>
      <c r="C171" s="10">
        <v>0.43194444444444446</v>
      </c>
      <c r="D171" s="5">
        <f>C171-B171</f>
        <v>1.388888888888884E-3</v>
      </c>
      <c r="E171" s="6" t="s">
        <v>31</v>
      </c>
      <c r="F171" s="7" t="s">
        <v>12</v>
      </c>
      <c r="G171" s="7" t="str">
        <f>IF(F171="P1","Normal activity",IF(F171="P2","Clustering / aggregation",IF(F171="P3","Agitation",IF(F171="P4","Lethargy",IF(F171="P5","Jumping / splashing",IF(F171="P6","Reactivity to noise"))))))</f>
        <v>Clustering / aggregation</v>
      </c>
      <c r="H171" s="7" t="str">
        <f>IF(F171="P1","Regular swimming, even distribution",IF(F171="P2","Fish grouped in one corner",IF(F171="P3","Rapid swimming, escape behavior",IF(F171="P4","Little movement",IF(F171="P5","Jumping out of the water",IF(F171="P6","Reaction to a tool or impact"))))))</f>
        <v>Fish grouped in one corner</v>
      </c>
      <c r="I171" s="6" t="s">
        <v>124</v>
      </c>
    </row>
    <row r="172" spans="1:9" x14ac:dyDescent="0.35">
      <c r="A172" s="4">
        <v>46151</v>
      </c>
      <c r="B172" s="10">
        <v>0.43055555555555558</v>
      </c>
      <c r="C172" s="10">
        <v>0.43194444444444446</v>
      </c>
      <c r="D172" s="5">
        <f>C172-B172</f>
        <v>1.388888888888884E-3</v>
      </c>
      <c r="E172" s="6" t="s">
        <v>27</v>
      </c>
      <c r="F172" s="7" t="s">
        <v>9</v>
      </c>
      <c r="G172" s="7" t="str">
        <f>IF(F172="P1","Normal activity",IF(F172="P2","Clustering / aggregation",IF(F172="P3","Agitation",IF(F172="P4","Lethargy",IF(F172="P5","Jumping / splashing",IF(F172="P6","Reactivity to noise"))))))</f>
        <v>Normal activity</v>
      </c>
      <c r="H172" s="7" t="str">
        <f>IF(F172="P1","Regular swimming, even distribution",IF(F172="P2","Fish grouped in one corner",IF(F172="P3","Rapid swimming, escape behavior",IF(F172="P4","Little movement",IF(F172="P5","Jumping out of the water",IF(F172="P6","Reaction to a tool or impact"))))))</f>
        <v>Regular swimming, even distribution</v>
      </c>
      <c r="I172" s="6"/>
    </row>
    <row r="173" spans="1:9" x14ac:dyDescent="0.35">
      <c r="A173" s="4">
        <v>46151</v>
      </c>
      <c r="B173" s="10">
        <v>0.43055555555555558</v>
      </c>
      <c r="C173" s="10">
        <v>0.43194444444444446</v>
      </c>
      <c r="D173" s="5">
        <f>C173-B173</f>
        <v>1.388888888888884E-3</v>
      </c>
      <c r="E173" s="6" t="s">
        <v>27</v>
      </c>
      <c r="F173" s="7" t="s">
        <v>12</v>
      </c>
      <c r="G173" s="7" t="str">
        <f>IF(F173="P1","Normal activity",IF(F173="P2","Clustering / aggregation",IF(F173="P3","Agitation",IF(F173="P4","Lethargy",IF(F173="P5","Jumping / splashing",IF(F173="P6","Reactivity to noise"))))))</f>
        <v>Clustering / aggregation</v>
      </c>
      <c r="H173" s="7" t="str">
        <f>IF(F173="P1","Regular swimming, even distribution",IF(F173="P2","Fish grouped in one corner",IF(F173="P3","Rapid swimming, escape behavior",IF(F173="P4","Little movement",IF(F173="P5","Jumping out of the water",IF(F173="P6","Reaction to a tool or impact"))))))</f>
        <v>Fish grouped in one corner</v>
      </c>
      <c r="I173" s="6" t="s">
        <v>124</v>
      </c>
    </row>
    <row r="174" spans="1:9" x14ac:dyDescent="0.35">
      <c r="A174" s="4">
        <v>46151</v>
      </c>
      <c r="B174" s="10">
        <v>0.43194444444444446</v>
      </c>
      <c r="C174" s="10">
        <v>0.43333333333333335</v>
      </c>
      <c r="D174" s="5">
        <f>C174-B174</f>
        <v>1.388888888888884E-3</v>
      </c>
      <c r="E174" s="6" t="s">
        <v>28</v>
      </c>
      <c r="F174" s="7" t="s">
        <v>15</v>
      </c>
      <c r="G174" s="7" t="str">
        <f>IF(F174="P1","Normal activity",IF(F174="P2","Clustering / aggregation",IF(F174="P3","Agitation",IF(F174="P4","Lethargy",IF(F174="P5","Jumping / splashing",IF(F174="P6","Reactivity to noise"))))))</f>
        <v>Agitation</v>
      </c>
      <c r="H174" s="7" t="str">
        <f>IF(F174="P1","Regular swimming, even distribution",IF(F174="P2","Fish grouped in one corner",IF(F174="P3","Rapid swimming, escape behavior",IF(F174="P4","Little movement",IF(F174="P5","Jumping out of the water",IF(F174="P6","Reaction to a tool or impact"))))))</f>
        <v>Rapid swimming, escape behavior</v>
      </c>
      <c r="I174" s="6" t="s">
        <v>125</v>
      </c>
    </row>
    <row r="175" spans="1:9" x14ac:dyDescent="0.35">
      <c r="A175" s="4">
        <v>46151</v>
      </c>
      <c r="B175" s="10">
        <v>0.43333333333333335</v>
      </c>
      <c r="C175" s="10">
        <v>0.43472222222222223</v>
      </c>
      <c r="D175" s="5">
        <f>C175-B175</f>
        <v>1.388888888888884E-3</v>
      </c>
      <c r="E175" s="6" t="s">
        <v>29</v>
      </c>
      <c r="F175" s="7" t="s">
        <v>12</v>
      </c>
      <c r="G175" s="7" t="str">
        <f>IF(F175="P1","Normal activity",IF(F175="P2","Clustering / aggregation",IF(F175="P3","Agitation",IF(F175="P4","Lethargy",IF(F175="P5","Jumping / splashing",IF(F175="P6","Reactivity to noise"))))))</f>
        <v>Clustering / aggregation</v>
      </c>
      <c r="H175" s="7" t="str">
        <f>IF(F175="P1","Regular swimming, even distribution",IF(F175="P2","Fish grouped in one corner",IF(F175="P3","Rapid swimming, escape behavior",IF(F175="P4","Little movement",IF(F175="P5","Jumping out of the water",IF(F175="P6","Reaction to a tool or impact"))))))</f>
        <v>Fish grouped in one corner</v>
      </c>
      <c r="I175" s="6" t="s">
        <v>117</v>
      </c>
    </row>
    <row r="176" spans="1:9" x14ac:dyDescent="0.35">
      <c r="A176" s="4">
        <v>46151</v>
      </c>
      <c r="B176" s="10">
        <v>0.43333333333333335</v>
      </c>
      <c r="C176" s="10">
        <v>0.43472222222222223</v>
      </c>
      <c r="D176" s="5">
        <f>C176-B176</f>
        <v>1.388888888888884E-3</v>
      </c>
      <c r="E176" s="6" t="s">
        <v>29</v>
      </c>
      <c r="F176" s="7" t="s">
        <v>18</v>
      </c>
      <c r="G176" s="7" t="str">
        <f>IF(F176="P1","Normal activity",IF(F176="P2","Clustering / aggregation",IF(F176="P3","Agitation",IF(F176="P4","Lethargy",IF(F176="P5","Jumping / splashing",IF(F176="P6","Reactivity to noise"))))))</f>
        <v>Lethargy</v>
      </c>
      <c r="H176" s="7" t="str">
        <f>IF(F176="P1","Regular swimming, even distribution",IF(F176="P2","Fish grouped in one corner",IF(F176="P3","Rapid swimming, escape behavior",IF(F176="P4","Little movement",IF(F176="P5","Jumping out of the water",IF(F176="P6","Reaction to a tool or impact"))))))</f>
        <v>Little movement</v>
      </c>
      <c r="I176" s="6" t="s">
        <v>126</v>
      </c>
    </row>
    <row r="177" spans="1:9" x14ac:dyDescent="0.35">
      <c r="A177" s="4">
        <v>46151</v>
      </c>
      <c r="B177" s="10">
        <v>0.43472222222222223</v>
      </c>
      <c r="C177" s="10">
        <v>0.43611111111111112</v>
      </c>
      <c r="D177" s="5">
        <f>C177-B177</f>
        <v>1.388888888888884E-3</v>
      </c>
      <c r="E177" s="6" t="s">
        <v>31</v>
      </c>
      <c r="F177" s="7" t="s">
        <v>12</v>
      </c>
      <c r="G177" s="7" t="str">
        <f>IF(F177="P1","Normal activity",IF(F177="P2","Clustering / aggregation",IF(F177="P3","Agitation",IF(F177="P4","Lethargy",IF(F177="P5","Jumping / splashing",IF(F177="P6","Reactivity to noise"))))))</f>
        <v>Clustering / aggregation</v>
      </c>
      <c r="H177" s="7" t="str">
        <f>IF(F177="P1","Regular swimming, even distribution",IF(F177="P2","Fish grouped in one corner",IF(F177="P3","Rapid swimming, escape behavior",IF(F177="P4","Little movement",IF(F177="P5","Jumping out of the water",IF(F177="P6","Reaction to a tool or impact"))))))</f>
        <v>Fish grouped in one corner</v>
      </c>
      <c r="I177" s="6" t="s">
        <v>127</v>
      </c>
    </row>
    <row r="178" spans="1:9" x14ac:dyDescent="0.35">
      <c r="A178" s="4">
        <v>46151</v>
      </c>
      <c r="B178" s="10">
        <v>0.43472222222222223</v>
      </c>
      <c r="C178" s="10">
        <v>0.43611111111111112</v>
      </c>
      <c r="D178" s="5">
        <f>C178-B178</f>
        <v>1.388888888888884E-3</v>
      </c>
      <c r="E178" s="6" t="s">
        <v>31</v>
      </c>
      <c r="F178" s="7" t="s">
        <v>15</v>
      </c>
      <c r="G178" s="7" t="str">
        <f>IF(F178="P1","Normal activity",IF(F178="P2","Clustering / aggregation",IF(F178="P3","Agitation",IF(F178="P4","Lethargy",IF(F178="P5","Jumping / splashing",IF(F178="P6","Reactivity to noise"))))))</f>
        <v>Agitation</v>
      </c>
      <c r="H178" s="7" t="str">
        <f>IF(F178="P1","Regular swimming, even distribution",IF(F178="P2","Fish grouped in one corner",IF(F178="P3","Rapid swimming, escape behavior",IF(F178="P4","Little movement",IF(F178="P5","Jumping out of the water",IF(F178="P6","Reaction to a tool or impact"))))))</f>
        <v>Rapid swimming, escape behavior</v>
      </c>
      <c r="I178" s="6" t="s">
        <v>128</v>
      </c>
    </row>
    <row r="179" spans="1:9" x14ac:dyDescent="0.35">
      <c r="A179" s="4">
        <v>46151</v>
      </c>
      <c r="B179" s="10">
        <v>0.43472222222222223</v>
      </c>
      <c r="C179" s="10">
        <v>0.43611111111111112</v>
      </c>
      <c r="D179" s="5">
        <f>C179-B179</f>
        <v>1.388888888888884E-3</v>
      </c>
      <c r="E179" s="6" t="s">
        <v>31</v>
      </c>
      <c r="F179" s="7" t="s">
        <v>18</v>
      </c>
      <c r="G179" s="7" t="str">
        <f>IF(F179="P1","Normal activity",IF(F179="P2","Clustering / aggregation",IF(F179="P3","Agitation",IF(F179="P4","Lethargy",IF(F179="P5","Jumping / splashing",IF(F179="P6","Reactivity to noise"))))))</f>
        <v>Lethargy</v>
      </c>
      <c r="H179" s="7" t="str">
        <f>IF(F179="P1","Regular swimming, even distribution",IF(F179="P2","Fish grouped in one corner",IF(F179="P3","Rapid swimming, escape behavior",IF(F179="P4","Little movement",IF(F179="P5","Jumping out of the water",IF(F179="P6","Reaction to a tool or impact"))))))</f>
        <v>Little movement</v>
      </c>
      <c r="I179" s="6" t="s">
        <v>126</v>
      </c>
    </row>
    <row r="180" spans="1:9" x14ac:dyDescent="0.35">
      <c r="A180" s="4">
        <v>46151</v>
      </c>
      <c r="B180" s="10">
        <v>0.43611111111111112</v>
      </c>
      <c r="C180" s="10">
        <v>0.4375</v>
      </c>
      <c r="D180" s="5">
        <f>C180-B180</f>
        <v>1.388888888888884E-3</v>
      </c>
      <c r="E180" s="6" t="s">
        <v>108</v>
      </c>
      <c r="F180" s="7"/>
      <c r="G180" s="7" t="b">
        <f>IF(F180="P1","Normal activity",IF(F180="P2","Clustering / aggregation",IF(F180="P3","Agitation",IF(F180="P4","Lethargy",IF(F180="P5","Jumping / splashing",IF(F180="P6","Reactivity to noise"))))))</f>
        <v>0</v>
      </c>
      <c r="H180" s="7" t="b">
        <f>IF(F180="P1","Regular swimming, even distribution",IF(F180="P2","Fish grouped in one corner",IF(F180="P3","Rapid swimming, escape behavior",IF(F180="P4","Little movement",IF(F180="P5","Jumping out of the water",IF(F180="P6","Reaction to a tool or impact"))))))</f>
        <v>0</v>
      </c>
      <c r="I180" s="7" t="s">
        <v>129</v>
      </c>
    </row>
    <row r="181" spans="1:9" x14ac:dyDescent="0.35">
      <c r="A181" s="4">
        <v>46151</v>
      </c>
      <c r="B181" s="10">
        <v>0.44236111111111109</v>
      </c>
      <c r="C181" s="10">
        <v>0.44374999999999998</v>
      </c>
      <c r="D181" s="5">
        <f>C181-B181</f>
        <v>1.388888888888884E-3</v>
      </c>
      <c r="E181" s="6" t="s">
        <v>27</v>
      </c>
      <c r="F181" s="7" t="s">
        <v>9</v>
      </c>
      <c r="G181" s="7" t="str">
        <f>IF(F181="P1","Normal activity",IF(F181="P2","Clustering / aggregation",IF(F181="P3","Agitation",IF(F181="P4","Lethargy",IF(F181="P5","Jumping / splashing",IF(F181="P6","Reactivity to noise"))))))</f>
        <v>Normal activity</v>
      </c>
      <c r="H181" s="7" t="str">
        <f>IF(F181="P1","Regular swimming, even distribution",IF(F181="P2","Fish grouped in one corner",IF(F181="P3","Rapid swimming, escape behavior",IF(F181="P4","Little movement",IF(F181="P5","Jumping out of the water",IF(F181="P6","Reaction to a tool or impact"))))))</f>
        <v>Regular swimming, even distribution</v>
      </c>
      <c r="I181" s="6"/>
    </row>
    <row r="182" spans="1:9" x14ac:dyDescent="0.35">
      <c r="A182" s="4">
        <v>46151</v>
      </c>
      <c r="B182" s="10">
        <v>0.44374999999999998</v>
      </c>
      <c r="C182" s="10">
        <v>0.44513888888888886</v>
      </c>
      <c r="D182" s="5">
        <f>C182-B182</f>
        <v>1.388888888888884E-3</v>
      </c>
      <c r="E182" s="6" t="s">
        <v>28</v>
      </c>
      <c r="F182" s="7" t="s">
        <v>12</v>
      </c>
      <c r="G182" s="7" t="str">
        <f>IF(F182="P1","Normal activity",IF(F182="P2","Clustering / aggregation",IF(F182="P3","Agitation",IF(F182="P4","Lethargy",IF(F182="P5","Jumping / splashing",IF(F182="P6","Reactivity to noise"))))))</f>
        <v>Clustering / aggregation</v>
      </c>
      <c r="H182" s="7" t="str">
        <f>IF(F182="P1","Regular swimming, even distribution",IF(F182="P2","Fish grouped in one corner",IF(F182="P3","Rapid swimming, escape behavior",IF(F182="P4","Little movement",IF(F182="P5","Jumping out of the water",IF(F182="P6","Reaction to a tool or impact"))))))</f>
        <v>Fish grouped in one corner</v>
      </c>
      <c r="I182" s="6" t="s">
        <v>130</v>
      </c>
    </row>
    <row r="183" spans="1:9" x14ac:dyDescent="0.35">
      <c r="A183" s="4">
        <v>46151</v>
      </c>
      <c r="B183" s="10">
        <v>0.44513888888888886</v>
      </c>
      <c r="C183" s="10">
        <v>0.4465277777777778</v>
      </c>
      <c r="D183" s="5">
        <f>C183-B183</f>
        <v>1.3888888888889395E-3</v>
      </c>
      <c r="E183" s="6" t="s">
        <v>29</v>
      </c>
      <c r="F183" s="7" t="s">
        <v>18</v>
      </c>
      <c r="G183" s="7" t="str">
        <f>IF(F183="P1","Normal activity",IF(F183="P2","Clustering / aggregation",IF(F183="P3","Agitation",IF(F183="P4","Lethargy",IF(F183="P5","Jumping / splashing",IF(F183="P6","Reactivity to noise"))))))</f>
        <v>Lethargy</v>
      </c>
      <c r="H183" s="7" t="str">
        <f>IF(F183="P1","Regular swimming, even distribution",IF(F183="P2","Fish grouped in one corner",IF(F183="P3","Rapid swimming, escape behavior",IF(F183="P4","Little movement",IF(F183="P5","Jumping out of the water",IF(F183="P6","Reaction to a tool or impact"))))))</f>
        <v>Little movement</v>
      </c>
      <c r="I183" s="6" t="s">
        <v>131</v>
      </c>
    </row>
    <row r="184" spans="1:9" x14ac:dyDescent="0.35">
      <c r="A184" s="4">
        <v>46151</v>
      </c>
      <c r="B184" s="10">
        <v>0.4465277777777778</v>
      </c>
      <c r="C184" s="10">
        <v>0.44791666666666669</v>
      </c>
      <c r="D184" s="5">
        <f>C184-B184</f>
        <v>1.388888888888884E-3</v>
      </c>
      <c r="E184" s="6" t="s">
        <v>31</v>
      </c>
      <c r="F184" s="7" t="s">
        <v>12</v>
      </c>
      <c r="G184" s="7" t="str">
        <f>IF(F184="P1","Normal activity",IF(F184="P2","Clustering / aggregation",IF(F184="P3","Agitation",IF(F184="P4","Lethargy",IF(F184="P5","Jumping / splashing",IF(F184="P6","Reactivity to noise"))))))</f>
        <v>Clustering / aggregation</v>
      </c>
      <c r="H184" s="7" t="str">
        <f>IF(F184="P1","Regular swimming, even distribution",IF(F184="P2","Fish grouped in one corner",IF(F184="P3","Rapid swimming, escape behavior",IF(F184="P4","Little movement",IF(F184="P5","Jumping out of the water",IF(F184="P6","Reaction to a tool or impact"))))))</f>
        <v>Fish grouped in one corner</v>
      </c>
      <c r="I184" s="6" t="s">
        <v>124</v>
      </c>
    </row>
    <row r="185" spans="1:9" x14ac:dyDescent="0.35">
      <c r="A185" s="4">
        <v>46151</v>
      </c>
      <c r="B185" s="10">
        <v>0.4465277777777778</v>
      </c>
      <c r="C185" s="10">
        <v>0.44791666666666669</v>
      </c>
      <c r="D185" s="5">
        <f>C185-B185</f>
        <v>1.388888888888884E-3</v>
      </c>
      <c r="E185" s="6" t="s">
        <v>31</v>
      </c>
      <c r="F185" s="7" t="s">
        <v>18</v>
      </c>
      <c r="G185" s="7" t="str">
        <f>IF(F185="P1","Normal activity",IF(F185="P2","Clustering / aggregation",IF(F185="P3","Agitation",IF(F185="P4","Lethargy",IF(F185="P5","Jumping / splashing",IF(F185="P6","Reactivity to noise"))))))</f>
        <v>Lethargy</v>
      </c>
      <c r="H185" s="7" t="str">
        <f>IF(F185="P1","Regular swimming, even distribution",IF(F185="P2","Fish grouped in one corner",IF(F185="P3","Rapid swimming, escape behavior",IF(F185="P4","Little movement",IF(F185="P5","Jumping out of the water",IF(F185="P6","Reaction to a tool or impact"))))))</f>
        <v>Little movement</v>
      </c>
      <c r="I185" s="6"/>
    </row>
    <row r="186" spans="1:9" x14ac:dyDescent="0.35">
      <c r="A186" s="4">
        <v>46151</v>
      </c>
      <c r="B186" s="10">
        <v>0.44791666666666669</v>
      </c>
      <c r="C186" s="10">
        <v>0.44930555555555557</v>
      </c>
      <c r="D186" s="5">
        <f>C186-B186</f>
        <v>1.388888888888884E-3</v>
      </c>
      <c r="E186" s="6" t="s">
        <v>108</v>
      </c>
      <c r="F186" s="7"/>
      <c r="G186" s="7" t="b">
        <f>IF(F186="P1","Normal activity",IF(F186="P2","Clustering / aggregation",IF(F186="P3","Agitation",IF(F186="P4","Lethargy",IF(F186="P5","Jumping / splashing",IF(F186="P6","Reactivity to noise"))))))</f>
        <v>0</v>
      </c>
      <c r="H186" s="7" t="b">
        <f>IF(F186="P1","Regular swimming, even distribution",IF(F186="P2","Fish grouped in one corner",IF(F186="P3","Rapid swimming, escape behavior",IF(F186="P4","Little movement",IF(F186="P5","Jumping out of the water",IF(F186="P6","Reaction to a tool or impact"))))))</f>
        <v>0</v>
      </c>
      <c r="I186" s="6" t="s">
        <v>132</v>
      </c>
    </row>
    <row r="187" spans="1:9" x14ac:dyDescent="0.35">
      <c r="A187" s="4">
        <v>46151</v>
      </c>
      <c r="B187" s="10">
        <v>0.49305555555555558</v>
      </c>
      <c r="C187" s="10">
        <v>0.49444444444444446</v>
      </c>
      <c r="D187" s="5">
        <f>C187-B187</f>
        <v>1.388888888888884E-3</v>
      </c>
      <c r="E187" s="6" t="s">
        <v>27</v>
      </c>
      <c r="F187" s="7" t="s">
        <v>9</v>
      </c>
      <c r="G187" s="7" t="str">
        <f>IF(F187="P1","Normal activity",IF(F187="P2","Clustering / aggregation",IF(F187="P3","Agitation",IF(F187="P4","Lethargy",IF(F187="P5","Jumping / splashing",IF(F187="P6","Reactivity to noise"))))))</f>
        <v>Normal activity</v>
      </c>
      <c r="H187" s="7" t="str">
        <f>IF(F187="P1","Regular swimming, even distribution",IF(F187="P2","Fish grouped in one corner",IF(F187="P3","Rapid swimming, escape behavior",IF(F187="P4","Little movement",IF(F187="P5","Jumping out of the water",IF(F187="P6","Reaction to a tool or impact"))))))</f>
        <v>Regular swimming, even distribution</v>
      </c>
      <c r="I187" s="6"/>
    </row>
    <row r="188" spans="1:9" x14ac:dyDescent="0.35">
      <c r="A188" s="4">
        <v>46151</v>
      </c>
      <c r="B188" s="10">
        <v>0.49444444444444446</v>
      </c>
      <c r="C188" s="10">
        <v>0.49583333333333335</v>
      </c>
      <c r="D188" s="5">
        <f>C188-B188</f>
        <v>1.388888888888884E-3</v>
      </c>
      <c r="E188" s="6" t="s">
        <v>28</v>
      </c>
      <c r="F188" s="7" t="s">
        <v>9</v>
      </c>
      <c r="G188" s="7" t="str">
        <f>IF(F188="P1","Normal activity",IF(F188="P2","Clustering / aggregation",IF(F188="P3","Agitation",IF(F188="P4","Lethargy",IF(F188="P5","Jumping / splashing",IF(F188="P6","Reactivity to noise"))))))</f>
        <v>Normal activity</v>
      </c>
      <c r="H188" s="7" t="str">
        <f>IF(F188="P1","Regular swimming, even distribution",IF(F188="P2","Fish grouped in one corner",IF(F188="P3","Rapid swimming, escape behavior",IF(F188="P4","Little movement",IF(F188="P5","Jumping out of the water",IF(F188="P6","Reaction to a tool or impact"))))))</f>
        <v>Regular swimming, even distribution</v>
      </c>
      <c r="I188" s="6"/>
    </row>
    <row r="189" spans="1:9" x14ac:dyDescent="0.35">
      <c r="A189" s="4">
        <v>46151</v>
      </c>
      <c r="B189" s="10">
        <v>0.49583333333333335</v>
      </c>
      <c r="C189" s="10">
        <v>0.49722222222222223</v>
      </c>
      <c r="D189" s="5">
        <f>C189-B189</f>
        <v>1.388888888888884E-3</v>
      </c>
      <c r="E189" s="6" t="s">
        <v>29</v>
      </c>
      <c r="F189" s="7" t="s">
        <v>18</v>
      </c>
      <c r="G189" s="7" t="str">
        <f>IF(F189="P1","Normal activity",IF(F189="P2","Clustering / aggregation",IF(F189="P3","Agitation",IF(F189="P4","Lethargy",IF(F189="P5","Jumping / splashing",IF(F189="P6","Reactivity to noise"))))))</f>
        <v>Lethargy</v>
      </c>
      <c r="H189" s="7" t="str">
        <f>IF(F189="P1","Regular swimming, even distribution",IF(F189="P2","Fish grouped in one corner",IF(F189="P3","Rapid swimming, escape behavior",IF(F189="P4","Little movement",IF(F189="P5","Jumping out of the water",IF(F189="P6","Reaction to a tool or impact"))))))</f>
        <v>Little movement</v>
      </c>
      <c r="I189" s="6" t="s">
        <v>133</v>
      </c>
    </row>
    <row r="190" spans="1:9" x14ac:dyDescent="0.35">
      <c r="A190" s="4">
        <v>46151</v>
      </c>
      <c r="B190" s="10">
        <v>0.49722222222222223</v>
      </c>
      <c r="C190" s="10">
        <v>0.49861111111111112</v>
      </c>
      <c r="D190" s="5">
        <f>C190-B190</f>
        <v>1.388888888888884E-3</v>
      </c>
      <c r="E190" s="6" t="s">
        <v>31</v>
      </c>
      <c r="F190" s="7" t="s">
        <v>12</v>
      </c>
      <c r="G190" s="7" t="str">
        <f>IF(F190="P1","Normal activity",IF(F190="P2","Clustering / aggregation",IF(F190="P3","Agitation",IF(F190="P4","Lethargy",IF(F190="P5","Jumping / splashing",IF(F190="P6","Reactivity to noise"))))))</f>
        <v>Clustering / aggregation</v>
      </c>
      <c r="H190" s="7" t="str">
        <f>IF(F190="P1","Regular swimming, even distribution",IF(F190="P2","Fish grouped in one corner",IF(F190="P3","Rapid swimming, escape behavior",IF(F190="P4","Little movement",IF(F190="P5","Jumping out of the water",IF(F190="P6","Reaction to a tool or impact"))))))</f>
        <v>Fish grouped in one corner</v>
      </c>
      <c r="I190" s="6" t="s">
        <v>134</v>
      </c>
    </row>
    <row r="191" spans="1:9" x14ac:dyDescent="0.35">
      <c r="A191" s="4">
        <v>46151</v>
      </c>
      <c r="B191" s="10">
        <v>0.49722222222222223</v>
      </c>
      <c r="C191" s="10">
        <v>0.49861111111111112</v>
      </c>
      <c r="D191" s="5">
        <f>C191-B191</f>
        <v>1.388888888888884E-3</v>
      </c>
      <c r="E191" s="6" t="s">
        <v>31</v>
      </c>
      <c r="F191" s="7" t="s">
        <v>18</v>
      </c>
      <c r="G191" s="7" t="str">
        <f>IF(F191="P1","Normal activity",IF(F191="P2","Clustering / aggregation",IF(F191="P3","Agitation",IF(F191="P4","Lethargy",IF(F191="P5","Jumping / splashing",IF(F191="P6","Reactivity to noise"))))))</f>
        <v>Lethargy</v>
      </c>
      <c r="H191" s="7" t="str">
        <f>IF(F191="P1","Regular swimming, even distribution",IF(F191="P2","Fish grouped in one corner",IF(F191="P3","Rapid swimming, escape behavior",IF(F191="P4","Little movement",IF(F191="P5","Jumping out of the water",IF(F191="P6","Reaction to a tool or impact"))))))</f>
        <v>Little movement</v>
      </c>
      <c r="I191" s="6" t="s">
        <v>135</v>
      </c>
    </row>
    <row r="192" spans="1:9" x14ac:dyDescent="0.35">
      <c r="A192" s="4">
        <v>46151</v>
      </c>
      <c r="B192" s="10">
        <v>0.49861111111111112</v>
      </c>
      <c r="C192" s="10">
        <v>0.5</v>
      </c>
      <c r="D192" s="5">
        <f>C192-B192</f>
        <v>1.388888888888884E-3</v>
      </c>
      <c r="E192" s="6" t="s">
        <v>136</v>
      </c>
      <c r="F192" s="7"/>
      <c r="G192" s="7" t="b">
        <f>IF(F192="P1","Normal activity",IF(F192="P2","Clustering / aggregation",IF(F192="P3","Agitation",IF(F192="P4","Lethargy",IF(F192="P5","Jumping / splashing",IF(F192="P6","Reactivity to noise"))))))</f>
        <v>0</v>
      </c>
      <c r="H192" s="7" t="b">
        <f>IF(F192="P1","Regular swimming, even distribution",IF(F192="P2","Fish grouped in one corner",IF(F192="P3","Rapid swimming, escape behavior",IF(F192="P4","Little movement",IF(F192="P5","Jumping out of the water",IF(F192="P6","Reaction to a tool or impact"))))))</f>
        <v>0</v>
      </c>
      <c r="I192" s="6" t="s">
        <v>137</v>
      </c>
    </row>
    <row r="193" spans="1:9" x14ac:dyDescent="0.35">
      <c r="A193" s="4">
        <v>46151</v>
      </c>
      <c r="B193" s="10">
        <v>0.50208333333333333</v>
      </c>
      <c r="C193" s="10">
        <v>0.50555555555555554</v>
      </c>
      <c r="D193" s="5">
        <f>C193-B193</f>
        <v>3.4722222222222099E-3</v>
      </c>
      <c r="E193" s="6"/>
      <c r="F193" s="7"/>
      <c r="G193" s="7" t="b">
        <f>IF(F193="P1","Normal activity",IF(F193="P2","Clustering / aggregation",IF(F193="P3","Agitation",IF(F193="P4","Lethargy",IF(F193="P5","Jumping / splashing",IF(F193="P6","Reactivity to noise"))))))</f>
        <v>0</v>
      </c>
      <c r="H193" s="7" t="b">
        <f>IF(F193="P1","Regular swimming, even distribution",IF(F193="P2","Fish grouped in one corner",IF(F193="P3","Rapid swimming, escape behavior",IF(F193="P4","Little movement",IF(F193="P5","Jumping out of the water",IF(F193="P6","Reaction to a tool or impact"))))))</f>
        <v>0</v>
      </c>
      <c r="I193" s="6" t="s">
        <v>138</v>
      </c>
    </row>
    <row r="194" spans="1:9" x14ac:dyDescent="0.35">
      <c r="A194" s="4">
        <v>46151</v>
      </c>
      <c r="B194" s="10">
        <v>0.50555555555555554</v>
      </c>
      <c r="C194" s="10">
        <v>0.50694444444444442</v>
      </c>
      <c r="D194" s="5">
        <f>C194-B194</f>
        <v>1.388888888888884E-3</v>
      </c>
      <c r="E194" s="6" t="s">
        <v>27</v>
      </c>
      <c r="F194" s="7" t="s">
        <v>9</v>
      </c>
      <c r="G194" s="7" t="str">
        <f>IF(F194="P1","Normal activity",IF(F194="P2","Clustering / aggregation",IF(F194="P3","Agitation",IF(F194="P4","Lethargy",IF(F194="P5","Jumping / splashing",IF(F194="P6","Reactivity to noise"))))))</f>
        <v>Normal activity</v>
      </c>
      <c r="H194" s="7" t="str">
        <f>IF(F194="P1","Regular swimming, even distribution",IF(F194="P2","Fish grouped in one corner",IF(F194="P3","Rapid swimming, escape behavior",IF(F194="P4","Little movement",IF(F194="P5","Jumping out of the water",IF(F194="P6","Reaction to a tool or impact"))))))</f>
        <v>Regular swimming, even distribution</v>
      </c>
      <c r="I194" s="6"/>
    </row>
    <row r="195" spans="1:9" x14ac:dyDescent="0.35">
      <c r="A195" s="4">
        <v>46151</v>
      </c>
      <c r="B195" s="10">
        <v>0.50694444444444442</v>
      </c>
      <c r="C195" s="10">
        <v>0.5083333333333333</v>
      </c>
      <c r="D195" s="5">
        <f>C195-B195</f>
        <v>1.388888888888884E-3</v>
      </c>
      <c r="E195" s="6" t="s">
        <v>28</v>
      </c>
      <c r="F195" s="7" t="s">
        <v>9</v>
      </c>
      <c r="G195" s="7" t="str">
        <f>IF(F195="P1","Normal activity",IF(F195="P2","Clustering / aggregation",IF(F195="P3","Agitation",IF(F195="P4","Lethargy",IF(F195="P5","Jumping / splashing",IF(F195="P6","Reactivity to noise"))))))</f>
        <v>Normal activity</v>
      </c>
      <c r="H195" s="7" t="str">
        <f>IF(F195="P1","Regular swimming, even distribution",IF(F195="P2","Fish grouped in one corner",IF(F195="P3","Rapid swimming, escape behavior",IF(F195="P4","Little movement",IF(F195="P5","Jumping out of the water",IF(F195="P6","Reaction to a tool or impact"))))))</f>
        <v>Regular swimming, even distribution</v>
      </c>
      <c r="I195" s="6" t="s">
        <v>139</v>
      </c>
    </row>
    <row r="196" spans="1:9" x14ac:dyDescent="0.35">
      <c r="A196" s="4">
        <v>46151</v>
      </c>
      <c r="B196" s="10">
        <v>0.5083333333333333</v>
      </c>
      <c r="C196" s="10">
        <v>0.50972222222222219</v>
      </c>
      <c r="D196" s="5">
        <f>C196-B196</f>
        <v>1.388888888888884E-3</v>
      </c>
      <c r="E196" s="6" t="s">
        <v>29</v>
      </c>
      <c r="F196" s="7" t="s">
        <v>18</v>
      </c>
      <c r="G196" s="7" t="str">
        <f>IF(F196="P1","Normal activity",IF(F196="P2","Clustering / aggregation",IF(F196="P3","Agitation",IF(F196="P4","Lethargy",IF(F196="P5","Jumping / splashing",IF(F196="P6","Reactivity to noise"))))))</f>
        <v>Lethargy</v>
      </c>
      <c r="H196" s="7" t="str">
        <f>IF(F196="P1","Regular swimming, even distribution",IF(F196="P2","Fish grouped in one corner",IF(F196="P3","Rapid swimming, escape behavior",IF(F196="P4","Little movement",IF(F196="P5","Jumping out of the water",IF(F196="P6","Reaction to a tool or impact"))))))</f>
        <v>Little movement</v>
      </c>
      <c r="I196" s="6" t="s">
        <v>131</v>
      </c>
    </row>
    <row r="197" spans="1:9" x14ac:dyDescent="0.35">
      <c r="A197" s="4">
        <v>46151</v>
      </c>
      <c r="B197" s="10">
        <v>0.50972222222222219</v>
      </c>
      <c r="C197" s="10">
        <v>0.51111111111111107</v>
      </c>
      <c r="D197" s="5">
        <f>C197-B197</f>
        <v>1.388888888888884E-3</v>
      </c>
      <c r="E197" s="6" t="s">
        <v>31</v>
      </c>
      <c r="F197" s="7" t="s">
        <v>12</v>
      </c>
      <c r="G197" s="7" t="str">
        <f>IF(F197="P1","Normal activity",IF(F197="P2","Clustering / aggregation",IF(F197="P3","Agitation",IF(F197="P4","Lethargy",IF(F197="P5","Jumping / splashing",IF(F197="P6","Reactivity to noise"))))))</f>
        <v>Clustering / aggregation</v>
      </c>
      <c r="H197" s="7" t="str">
        <f>IF(F197="P1","Regular swimming, even distribution",IF(F197="P2","Fish grouped in one corner",IF(F197="P3","Rapid swimming, escape behavior",IF(F197="P4","Little movement",IF(F197="P5","Jumping out of the water",IF(F197="P6","Reaction to a tool or impact"))))))</f>
        <v>Fish grouped in one corner</v>
      </c>
      <c r="I197" s="6" t="s">
        <v>117</v>
      </c>
    </row>
    <row r="198" spans="1:9" x14ac:dyDescent="0.35">
      <c r="A198" s="4">
        <v>46151</v>
      </c>
      <c r="B198" s="10">
        <v>0.55902777777777779</v>
      </c>
      <c r="C198" s="10">
        <v>0.56041666666666667</v>
      </c>
      <c r="D198" s="5">
        <f>C198-B198</f>
        <v>1.388888888888884E-3</v>
      </c>
      <c r="E198" s="6" t="s">
        <v>27</v>
      </c>
      <c r="F198" s="7" t="s">
        <v>9</v>
      </c>
      <c r="G198" s="7" t="str">
        <f>IF(F198="P1","Normal activity",IF(F198="P2","Clustering / aggregation",IF(F198="P3","Agitation",IF(F198="P4","Lethargy",IF(F198="P5","Jumping / splashing",IF(F198="P6","Reactivity to noise"))))))</f>
        <v>Normal activity</v>
      </c>
      <c r="H198" s="7" t="str">
        <f>IF(F198="P1","Regular swimming, even distribution",IF(F198="P2","Fish grouped in one corner",IF(F198="P3","Rapid swimming, escape behavior",IF(F198="P4","Little movement",IF(F198="P5","Jumping out of the water",IF(F198="P6","Reaction to a tool or impact"))))))</f>
        <v>Regular swimming, even distribution</v>
      </c>
      <c r="I198" s="6"/>
    </row>
    <row r="199" spans="1:9" x14ac:dyDescent="0.35">
      <c r="A199" s="4">
        <v>46151</v>
      </c>
      <c r="B199" s="10">
        <v>0.56041666666666667</v>
      </c>
      <c r="C199" s="10">
        <v>0.56180555555555556</v>
      </c>
      <c r="D199" s="5">
        <f>C199-B199</f>
        <v>1.388888888888884E-3</v>
      </c>
      <c r="E199" s="6" t="s">
        <v>28</v>
      </c>
      <c r="F199" s="7" t="s">
        <v>18</v>
      </c>
      <c r="G199" s="7" t="str">
        <f>IF(F199="P1","Normal activity",IF(F199="P2","Clustering / aggregation",IF(F199="P3","Agitation",IF(F199="P4","Lethargy",IF(F199="P5","Jumping / splashing",IF(F199="P6","Reactivity to noise"))))))</f>
        <v>Lethargy</v>
      </c>
      <c r="H199" s="7" t="str">
        <f>IF(F199="P1","Regular swimming, even distribution",IF(F199="P2","Fish grouped in one corner",IF(F199="P3","Rapid swimming, escape behavior",IF(F199="P4","Little movement",IF(F199="P5","Jumping out of the water",IF(F199="P6","Reaction to a tool or impact"))))))</f>
        <v>Little movement</v>
      </c>
      <c r="I199" s="6"/>
    </row>
    <row r="200" spans="1:9" x14ac:dyDescent="0.35">
      <c r="A200" s="4">
        <v>46151</v>
      </c>
      <c r="B200" s="10">
        <v>0.56180555555555556</v>
      </c>
      <c r="C200" s="10">
        <v>0.56319444444444444</v>
      </c>
      <c r="D200" s="5">
        <f>C200-B200</f>
        <v>1.388888888888884E-3</v>
      </c>
      <c r="E200" s="6" t="s">
        <v>29</v>
      </c>
      <c r="F200" s="7" t="s">
        <v>12</v>
      </c>
      <c r="G200" s="7" t="str">
        <f>IF(F200="P1","Normal activity",IF(F200="P2","Clustering / aggregation",IF(F200="P3","Agitation",IF(F200="P4","Lethargy",IF(F200="P5","Jumping / splashing",IF(F200="P6","Reactivity to noise"))))))</f>
        <v>Clustering / aggregation</v>
      </c>
      <c r="H200" s="7" t="str">
        <f>IF(F200="P1","Regular swimming, even distribution",IF(F200="P2","Fish grouped in one corner",IF(F200="P3","Rapid swimming, escape behavior",IF(F200="P4","Little movement",IF(F200="P5","Jumping out of the water",IF(F200="P6","Reaction to a tool or impact"))))))</f>
        <v>Fish grouped in one corner</v>
      </c>
      <c r="I200" s="6" t="s">
        <v>140</v>
      </c>
    </row>
    <row r="201" spans="1:9" x14ac:dyDescent="0.35">
      <c r="A201" s="4">
        <v>46151</v>
      </c>
      <c r="B201" s="10">
        <v>0.56319444444444444</v>
      </c>
      <c r="C201" s="10">
        <v>0.56458333333333333</v>
      </c>
      <c r="D201" s="5">
        <f>C201-B201</f>
        <v>1.388888888888884E-3</v>
      </c>
      <c r="E201" s="6" t="s">
        <v>31</v>
      </c>
      <c r="F201" s="7" t="s">
        <v>18</v>
      </c>
      <c r="G201" s="7" t="str">
        <f>IF(F201="P1","Normal activity",IF(F201="P2","Clustering / aggregation",IF(F201="P3","Agitation",IF(F201="P4","Lethargy",IF(F201="P5","Jumping / splashing",IF(F201="P6","Reactivity to noise"))))))</f>
        <v>Lethargy</v>
      </c>
      <c r="H201" s="7" t="str">
        <f>IF(F201="P1","Regular swimming, even distribution",IF(F201="P2","Fish grouped in one corner",IF(F201="P3","Rapid swimming, escape behavior",IF(F201="P4","Little movement",IF(F201="P5","Jumping out of the water",IF(F201="P6","Reaction to a tool or impact"))))))</f>
        <v>Little movement</v>
      </c>
      <c r="I201" s="6"/>
    </row>
    <row r="202" spans="1:9" x14ac:dyDescent="0.35">
      <c r="A202" s="4">
        <v>46151</v>
      </c>
      <c r="B202" s="10">
        <v>0.56458333333333333</v>
      </c>
      <c r="C202" s="10">
        <v>0.56597222222222221</v>
      </c>
      <c r="D202" s="5">
        <f>C202-B202</f>
        <v>1.388888888888884E-3</v>
      </c>
      <c r="E202" s="6"/>
      <c r="F202" s="7"/>
      <c r="G202" s="7" t="b">
        <f>IF(F202="P1","Normal activity",IF(F202="P2","Clustering / aggregation",IF(F202="P3","Agitation",IF(F202="P4","Lethargy",IF(F202="P5","Jumping / splashing",IF(F202="P6","Reactivity to noise"))))))</f>
        <v>0</v>
      </c>
      <c r="H202" s="7" t="b">
        <f>IF(F202="P1","Regular swimming, even distribution",IF(F202="P2","Fish grouped in one corner",IF(F202="P3","Rapid swimming, escape behavior",IF(F202="P4","Little movement",IF(F202="P5","Jumping out of the water",IF(F202="P6","Reaction to a tool or impact"))))))</f>
        <v>0</v>
      </c>
      <c r="I202" s="6" t="s">
        <v>137</v>
      </c>
    </row>
    <row r="203" spans="1:9" x14ac:dyDescent="0.35">
      <c r="A203" s="4">
        <v>46151</v>
      </c>
      <c r="B203" s="10">
        <v>0.56597222222222221</v>
      </c>
      <c r="C203" s="10">
        <v>0.56874999999999998</v>
      </c>
      <c r="D203" s="5">
        <f>C203-B203</f>
        <v>2.7777777777777679E-3</v>
      </c>
      <c r="E203" s="6"/>
      <c r="F203" s="7"/>
      <c r="G203" s="7" t="b">
        <f>IF(F203="P1","Normal activity",IF(F203="P2","Clustering / aggregation",IF(F203="P3","Agitation",IF(F203="P4","Lethargy",IF(F203="P5","Jumping / splashing",IF(F203="P6","Reactivity to noise"))))))</f>
        <v>0</v>
      </c>
      <c r="H203" s="7" t="b">
        <f>IF(F203="P1","Regular swimming, even distribution",IF(F203="P2","Fish grouped in one corner",IF(F203="P3","Rapid swimming, escape behavior",IF(F203="P4","Little movement",IF(F203="P5","Jumping out of the water",IF(F203="P6","Reaction to a tool or impact"))))))</f>
        <v>0</v>
      </c>
      <c r="I203" s="6" t="s">
        <v>141</v>
      </c>
    </row>
    <row r="204" spans="1:9" x14ac:dyDescent="0.35">
      <c r="A204" s="4">
        <v>46151</v>
      </c>
      <c r="B204" s="10">
        <v>0.56874999999999998</v>
      </c>
      <c r="C204" s="10">
        <v>0.57013888888888886</v>
      </c>
      <c r="D204" s="5">
        <f>C204-B204</f>
        <v>1.388888888888884E-3</v>
      </c>
      <c r="E204" s="6" t="s">
        <v>27</v>
      </c>
      <c r="F204" s="7" t="s">
        <v>9</v>
      </c>
      <c r="G204" s="7" t="str">
        <f>IF(F204="P1","Normal activity",IF(F204="P2","Clustering / aggregation",IF(F204="P3","Agitation",IF(F204="P4","Lethargy",IF(F204="P5","Jumping / splashing",IF(F204="P6","Reactivity to noise"))))))</f>
        <v>Normal activity</v>
      </c>
      <c r="H204" s="7" t="str">
        <f>IF(F204="P1","Regular swimming, even distribution",IF(F204="P2","Fish grouped in one corner",IF(F204="P3","Rapid swimming, escape behavior",IF(F204="P4","Little movement",IF(F204="P5","Jumping out of the water",IF(F204="P6","Reaction to a tool or impact"))))))</f>
        <v>Regular swimming, even distribution</v>
      </c>
      <c r="I204" s="6" t="s">
        <v>139</v>
      </c>
    </row>
    <row r="205" spans="1:9" x14ac:dyDescent="0.35">
      <c r="A205" s="4">
        <v>46151</v>
      </c>
      <c r="B205" s="10">
        <v>0.57013888888888886</v>
      </c>
      <c r="C205" s="10">
        <v>0.57152777777777775</v>
      </c>
      <c r="D205" s="5">
        <f>C205-B205</f>
        <v>1.388888888888884E-3</v>
      </c>
      <c r="E205" s="6" t="s">
        <v>28</v>
      </c>
      <c r="F205" s="7" t="s">
        <v>9</v>
      </c>
      <c r="G205" s="7" t="str">
        <f>IF(F205="P1","Normal activity",IF(F205="P2","Clustering / aggregation",IF(F205="P3","Agitation",IF(F205="P4","Lethargy",IF(F205="P5","Jumping / splashing",IF(F205="P6","Reactivity to noise"))))))</f>
        <v>Normal activity</v>
      </c>
      <c r="H205" s="7" t="str">
        <f>IF(F205="P1","Regular swimming, even distribution",IF(F205="P2","Fish grouped in one corner",IF(F205="P3","Rapid swimming, escape behavior",IF(F205="P4","Little movement",IF(F205="P5","Jumping out of the water",IF(F205="P6","Reaction to a tool or impact"))))))</f>
        <v>Regular swimming, even distribution</v>
      </c>
      <c r="I205" s="6"/>
    </row>
    <row r="206" spans="1:9" x14ac:dyDescent="0.35">
      <c r="A206" s="4">
        <v>46151</v>
      </c>
      <c r="B206" s="10">
        <v>0.57152777777777775</v>
      </c>
      <c r="C206" s="10">
        <v>0.57291666666666663</v>
      </c>
      <c r="D206" s="5">
        <f>C206-B206</f>
        <v>1.388888888888884E-3</v>
      </c>
      <c r="E206" s="6" t="s">
        <v>29</v>
      </c>
      <c r="F206" s="7" t="s">
        <v>9</v>
      </c>
      <c r="G206" s="7" t="str">
        <f>IF(F206="P1","Normal activity",IF(F206="P2","Clustering / aggregation",IF(F206="P3","Agitation",IF(F206="P4","Lethargy",IF(F206="P5","Jumping / splashing",IF(F206="P6","Reactivity to noise"))))))</f>
        <v>Normal activity</v>
      </c>
      <c r="H206" s="7" t="str">
        <f>IF(F206="P1","Regular swimming, even distribution",IF(F206="P2","Fish grouped in one corner",IF(F206="P3","Rapid swimming, escape behavior",IF(F206="P4","Little movement",IF(F206="P5","Jumping out of the water",IF(F206="P6","Reaction to a tool or impact"))))))</f>
        <v>Regular swimming, even distribution</v>
      </c>
      <c r="I206" s="6"/>
    </row>
    <row r="207" spans="1:9" x14ac:dyDescent="0.35">
      <c r="A207" s="4">
        <v>46151</v>
      </c>
      <c r="B207" s="10">
        <v>0.57291666666666663</v>
      </c>
      <c r="C207" s="10">
        <v>0.57430555555555551</v>
      </c>
      <c r="D207" s="5">
        <f>C207-B207</f>
        <v>1.388888888888884E-3</v>
      </c>
      <c r="E207" s="6" t="s">
        <v>31</v>
      </c>
      <c r="F207" s="7" t="s">
        <v>9</v>
      </c>
      <c r="G207" s="7" t="str">
        <f>IF(F207="P1","Normal activity",IF(F207="P2","Clustering / aggregation",IF(F207="P3","Agitation",IF(F207="P4","Lethargy",IF(F207="P5","Jumping / splashing",IF(F207="P6","Reactivity to noise"))))))</f>
        <v>Normal activity</v>
      </c>
      <c r="H207" s="7" t="str">
        <f>IF(F207="P1","Regular swimming, even distribution",IF(F207="P2","Fish grouped in one corner",IF(F207="P3","Rapid swimming, escape behavior",IF(F207="P4","Little movement",IF(F207="P5","Jumping out of the water",IF(F207="P6","Reaction to a tool or impact"))))))</f>
        <v>Regular swimming, even distribution</v>
      </c>
      <c r="I207" s="6"/>
    </row>
    <row r="208" spans="1:9" x14ac:dyDescent="0.35">
      <c r="A208" s="4">
        <v>46151</v>
      </c>
      <c r="B208" s="10">
        <v>0.57430555555555551</v>
      </c>
      <c r="C208" s="10">
        <v>0.5756944444444444</v>
      </c>
      <c r="D208" s="5">
        <f>C208-B208</f>
        <v>1.388888888888884E-3</v>
      </c>
      <c r="E208" s="6"/>
      <c r="F208" s="7"/>
      <c r="G208" s="7" t="b">
        <f>IF(F208="P1","Normal activity",IF(F208="P2","Clustering / aggregation",IF(F208="P3","Agitation",IF(F208="P4","Lethargy",IF(F208="P5","Jumping / splashing",IF(F208="P6","Reactivity to noise"))))))</f>
        <v>0</v>
      </c>
      <c r="H208" s="7" t="b">
        <f>IF(F208="P1","Regular swimming, even distribution",IF(F208="P2","Fish grouped in one corner",IF(F208="P3","Rapid swimming, escape behavior",IF(F208="P4","Little movement",IF(F208="P5","Jumping out of the water",IF(F208="P6","Reaction to a tool or impact"))))))</f>
        <v>0</v>
      </c>
      <c r="I208" s="6" t="s">
        <v>137</v>
      </c>
    </row>
    <row r="209" spans="1:9" x14ac:dyDescent="0.35">
      <c r="A209" s="4">
        <v>46155</v>
      </c>
      <c r="B209" s="10">
        <v>0.39305555555555555</v>
      </c>
      <c r="C209" s="10">
        <v>0.4</v>
      </c>
      <c r="D209" s="5">
        <f>C209-B209</f>
        <v>6.9444444444444753E-3</v>
      </c>
      <c r="E209" s="6" t="s">
        <v>27</v>
      </c>
      <c r="F209" s="7" t="s">
        <v>9</v>
      </c>
      <c r="G209" s="7" t="str">
        <f>IF(F209="P1","Normal activity",IF(F209="P2","Clustering / aggregation",IF(F209="P3","Agitation",IF(F209="P4","Lethargy",IF(F209="P5","Jumping / splashing",IF(F209="P6","Reactivity to noise"))))))</f>
        <v>Normal activity</v>
      </c>
      <c r="H209" s="7" t="str">
        <f>IF(F209="P1","Regular swimming, even distribution",IF(F209="P2","Fish grouped in one corner",IF(F209="P3","Rapid swimming, escape behavior",IF(F209="P4","Little movement",IF(F209="P5","Jumping out of the water",IF(F209="P6","Reaction to a tool or impact"))))))</f>
        <v>Regular swimming, even distribution</v>
      </c>
      <c r="I209" s="6" t="s">
        <v>142</v>
      </c>
    </row>
    <row r="210" spans="1:9" x14ac:dyDescent="0.35">
      <c r="A210" s="4">
        <v>46155</v>
      </c>
      <c r="B210" s="10">
        <v>0.39305555555555555</v>
      </c>
      <c r="C210" s="10">
        <v>0.4</v>
      </c>
      <c r="D210" s="5">
        <f>C210-B210</f>
        <v>6.9444444444444753E-3</v>
      </c>
      <c r="E210" s="6" t="s">
        <v>28</v>
      </c>
      <c r="F210" s="7" t="s">
        <v>9</v>
      </c>
      <c r="G210" s="7" t="str">
        <f>IF(F210="P1","Normal activity",IF(F210="P2","Clustering / aggregation",IF(F210="P3","Agitation",IF(F210="P4","Lethargy",IF(F210="P5","Jumping / splashing",IF(F210="P6","Reactivity to noise"))))))</f>
        <v>Normal activity</v>
      </c>
      <c r="H210" s="7" t="str">
        <f>IF(F210="P1","Regular swimming, even distribution",IF(F210="P2","Fish grouped in one corner",IF(F210="P3","Rapid swimming, escape behavior",IF(F210="P4","Little movement",IF(F210="P5","Jumping out of the water",IF(F210="P6","Reaction to a tool or impact"))))))</f>
        <v>Regular swimming, even distribution</v>
      </c>
      <c r="I210" s="6" t="s">
        <v>143</v>
      </c>
    </row>
    <row r="211" spans="1:9" x14ac:dyDescent="0.35">
      <c r="A211" s="4">
        <v>46155</v>
      </c>
      <c r="B211" s="10">
        <v>0.39305555555555555</v>
      </c>
      <c r="C211" s="10">
        <v>0.4</v>
      </c>
      <c r="D211" s="5">
        <f>C211-B211</f>
        <v>6.9444444444444753E-3</v>
      </c>
      <c r="E211" s="6" t="s">
        <v>29</v>
      </c>
      <c r="F211" s="7" t="s">
        <v>9</v>
      </c>
      <c r="G211" s="7" t="str">
        <f>IF(F211="P1","Normal activity",IF(F211="P2","Clustering / aggregation",IF(F211="P3","Agitation",IF(F211="P4","Lethargy",IF(F211="P5","Jumping / splashing",IF(F211="P6","Reactivity to noise"))))))</f>
        <v>Normal activity</v>
      </c>
      <c r="H211" s="7" t="str">
        <f>IF(F211="P1","Regular swimming, even distribution",IF(F211="P2","Fish grouped in one corner",IF(F211="P3","Rapid swimming, escape behavior",IF(F211="P4","Little movement",IF(F211="P5","Jumping out of the water",IF(F211="P6","Reaction to a tool or impact"))))))</f>
        <v>Regular swimming, even distribution</v>
      </c>
      <c r="I211" s="6" t="s">
        <v>144</v>
      </c>
    </row>
    <row r="212" spans="1:9" x14ac:dyDescent="0.35">
      <c r="A212" s="4">
        <v>46155</v>
      </c>
      <c r="B212" s="10">
        <v>0.39305555555555599</v>
      </c>
      <c r="C212" s="10">
        <v>0.4</v>
      </c>
      <c r="D212" s="5">
        <f>C212-B212</f>
        <v>6.9444444444440312E-3</v>
      </c>
      <c r="E212" s="6" t="s">
        <v>29</v>
      </c>
      <c r="F212" s="7" t="s">
        <v>12</v>
      </c>
      <c r="G212" s="7" t="str">
        <f>IF(F212="P1","Normal activity",IF(F212="P2","Clustering / aggregation",IF(F212="P3","Agitation",IF(F212="P4","Lethargy",IF(F212="P5","Jumping / splashing",IF(F212="P6","Reactivity to noise"))))))</f>
        <v>Clustering / aggregation</v>
      </c>
      <c r="H212" s="7" t="str">
        <f>IF(F212="P1","Regular swimming, even distribution",IF(F212="P2","Fish grouped in one corner",IF(F212="P3","Rapid swimming, escape behavior",IF(F212="P4","Little movement",IF(F212="P5","Jumping out of the water",IF(F212="P6","Reaction to a tool or impact"))))))</f>
        <v>Fish grouped in one corner</v>
      </c>
      <c r="I212" s="6" t="s">
        <v>145</v>
      </c>
    </row>
    <row r="213" spans="1:9" x14ac:dyDescent="0.35">
      <c r="A213" s="4">
        <v>46155</v>
      </c>
      <c r="B213" s="10">
        <v>0.39305555555555599</v>
      </c>
      <c r="C213" s="10">
        <v>0.4</v>
      </c>
      <c r="D213" s="5">
        <f>C213-B213</f>
        <v>6.9444444444440312E-3</v>
      </c>
      <c r="E213" s="6" t="s">
        <v>31</v>
      </c>
      <c r="F213" s="7" t="s">
        <v>9</v>
      </c>
      <c r="G213" s="7" t="str">
        <f>IF(F213="P1","Normal activity",IF(F213="P2","Clustering / aggregation",IF(F213="P3","Agitation",IF(F213="P4","Lethargy",IF(F213="P5","Jumping / splashing",IF(F213="P6","Reactivity to noise"))))))</f>
        <v>Normal activity</v>
      </c>
      <c r="H213" s="7" t="str">
        <f>IF(F213="P1","Regular swimming, even distribution",IF(F213="P2","Fish grouped in one corner",IF(F213="P3","Rapid swimming, escape behavior",IF(F213="P4","Little movement",IF(F213="P5","Jumping out of the water",IF(F213="P6","Reaction to a tool or impact"))))))</f>
        <v>Regular swimming, even distribution</v>
      </c>
      <c r="I213" s="6" t="s">
        <v>146</v>
      </c>
    </row>
    <row r="214" spans="1:9" x14ac:dyDescent="0.35">
      <c r="A214" s="4">
        <v>46155</v>
      </c>
      <c r="B214" s="10">
        <v>0.39305555555555699</v>
      </c>
      <c r="C214" s="10">
        <v>0.4</v>
      </c>
      <c r="D214" s="5">
        <f>C214-B214</f>
        <v>6.944444444443032E-3</v>
      </c>
      <c r="E214" s="6" t="s">
        <v>31</v>
      </c>
      <c r="F214" s="7" t="s">
        <v>12</v>
      </c>
      <c r="G214" s="7" t="str">
        <f>IF(F214="P1","Normal activity",IF(F214="P2","Clustering / aggregation",IF(F214="P3","Agitation",IF(F214="P4","Lethargy",IF(F214="P5","Jumping / splashing",IF(F214="P6","Reactivity to noise"))))))</f>
        <v>Clustering / aggregation</v>
      </c>
      <c r="H214" s="7" t="str">
        <f>IF(F214="P1","Regular swimming, even distribution",IF(F214="P2","Fish grouped in one corner",IF(F214="P3","Rapid swimming, escape behavior",IF(F214="P4","Little movement",IF(F214="P5","Jumping out of the water",IF(F214="P6","Reaction to a tool or impact"))))))</f>
        <v>Fish grouped in one corner</v>
      </c>
      <c r="I214" s="6" t="s">
        <v>147</v>
      </c>
    </row>
    <row r="215" spans="1:9" x14ac:dyDescent="0.35">
      <c r="A215" s="4">
        <v>46155</v>
      </c>
      <c r="B215" s="10">
        <v>0.40069444444444446</v>
      </c>
      <c r="C215" s="10">
        <v>0.40416666666666667</v>
      </c>
      <c r="D215" s="5">
        <f>C215-B215</f>
        <v>3.4722222222222099E-3</v>
      </c>
      <c r="E215" s="6"/>
      <c r="F215" s="7"/>
      <c r="G215" s="7" t="b">
        <f>IF(F215="P1","Normal activity",IF(F215="P2","Clustering / aggregation",IF(F215="P3","Agitation",IF(F215="P4","Lethargy",IF(F215="P5","Jumping / splashing",IF(F215="P6","Reactivity to noise"))))))</f>
        <v>0</v>
      </c>
      <c r="H215" s="7" t="b">
        <f>IF(F215="P1","Regular swimming, even distribution",IF(F215="P2","Fish grouped in one corner",IF(F215="P3","Rapid swimming, escape behavior",IF(F215="P4","Little movement",IF(F215="P5","Jumping out of the water",IF(F215="P6","Reaction to a tool or impact"))))))</f>
        <v>0</v>
      </c>
      <c r="I215" s="6" t="s">
        <v>148</v>
      </c>
    </row>
    <row r="216" spans="1:9" x14ac:dyDescent="0.35">
      <c r="A216" s="4">
        <v>46155</v>
      </c>
      <c r="B216" s="10">
        <v>0.40486111111111112</v>
      </c>
      <c r="C216" s="10">
        <v>0.41180555555555554</v>
      </c>
      <c r="D216" s="5">
        <f>C216-B216</f>
        <v>6.9444444444444198E-3</v>
      </c>
      <c r="E216" s="6" t="s">
        <v>27</v>
      </c>
      <c r="F216" s="7" t="s">
        <v>15</v>
      </c>
      <c r="G216" s="7" t="str">
        <f>IF(F216="P1","Normal activity",IF(F216="P2","Clustering / aggregation",IF(F216="P3","Agitation",IF(F216="P4","Lethargy",IF(F216="P5","Jumping / splashing",IF(F216="P6","Reactivity to noise"))))))</f>
        <v>Agitation</v>
      </c>
      <c r="H216" s="7" t="str">
        <f>IF(F216="P1","Regular swimming, even distribution",IF(F216="P2","Fish grouped in one corner",IF(F216="P3","Rapid swimming, escape behavior",IF(F216="P4","Little movement",IF(F216="P5","Jumping out of the water",IF(F216="P6","Reaction to a tool or impact"))))))</f>
        <v>Rapid swimming, escape behavior</v>
      </c>
      <c r="I216" s="6" t="s">
        <v>149</v>
      </c>
    </row>
    <row r="217" spans="1:9" x14ac:dyDescent="0.35">
      <c r="A217" s="4">
        <v>46155</v>
      </c>
      <c r="B217" s="10">
        <v>0.40486111111111112</v>
      </c>
      <c r="C217" s="10">
        <v>0.41180555555555554</v>
      </c>
      <c r="D217" s="5">
        <f>C217-B217</f>
        <v>6.9444444444444198E-3</v>
      </c>
      <c r="E217" s="6" t="s">
        <v>27</v>
      </c>
      <c r="F217" s="7" t="s">
        <v>9</v>
      </c>
      <c r="G217" s="7" t="str">
        <f>IF(F217="P1","Normal activity",IF(F217="P2","Clustering / aggregation",IF(F217="P3","Agitation",IF(F217="P4","Lethargy",IF(F217="P5","Jumping / splashing",IF(F217="P6","Reactivity to noise"))))))</f>
        <v>Normal activity</v>
      </c>
      <c r="H217" s="7" t="str">
        <f>IF(F217="P1","Regular swimming, even distribution",IF(F217="P2","Fish grouped in one corner",IF(F217="P3","Rapid swimming, escape behavior",IF(F217="P4","Little movement",IF(F217="P5","Jumping out of the water",IF(F217="P6","Reaction to a tool or impact"))))))</f>
        <v>Regular swimming, even distribution</v>
      </c>
      <c r="I217" s="6" t="s">
        <v>150</v>
      </c>
    </row>
    <row r="218" spans="1:9" x14ac:dyDescent="0.35">
      <c r="A218" s="4">
        <v>46155</v>
      </c>
      <c r="B218" s="10">
        <v>0.40486111111111112</v>
      </c>
      <c r="C218" s="10">
        <v>0.41180555555555554</v>
      </c>
      <c r="D218" s="5">
        <f>C218-B218</f>
        <v>6.9444444444444198E-3</v>
      </c>
      <c r="E218" s="6" t="s">
        <v>27</v>
      </c>
      <c r="F218" s="7" t="s">
        <v>12</v>
      </c>
      <c r="G218" s="7" t="str">
        <f>IF(F218="P1","Normal activity",IF(F218="P2","Clustering / aggregation",IF(F218="P3","Agitation",IF(F218="P4","Lethargy",IF(F218="P5","Jumping / splashing",IF(F218="P6","Reactivity to noise"))))))</f>
        <v>Clustering / aggregation</v>
      </c>
      <c r="H218" s="7" t="str">
        <f>IF(F218="P1","Regular swimming, even distribution",IF(F218="P2","Fish grouped in one corner",IF(F218="P3","Rapid swimming, escape behavior",IF(F218="P4","Little movement",IF(F218="P5","Jumping out of the water",IF(F218="P6","Reaction to a tool or impact"))))))</f>
        <v>Fish grouped in one corner</v>
      </c>
      <c r="I218" s="6" t="s">
        <v>151</v>
      </c>
    </row>
    <row r="219" spans="1:9" x14ac:dyDescent="0.35">
      <c r="A219" s="4">
        <v>46155</v>
      </c>
      <c r="B219" s="10">
        <v>0.40486111111111112</v>
      </c>
      <c r="C219" s="10">
        <v>0.41180555555555554</v>
      </c>
      <c r="D219" s="5">
        <f>C219-B219</f>
        <v>6.9444444444444198E-3</v>
      </c>
      <c r="E219" s="6" t="s">
        <v>28</v>
      </c>
      <c r="F219" s="7" t="s">
        <v>9</v>
      </c>
      <c r="G219" s="7" t="str">
        <f>IF(F219="P1","Normal activity",IF(F219="P2","Clustering / aggregation",IF(F219="P3","Agitation",IF(F219="P4","Lethargy",IF(F219="P5","Jumping / splashing",IF(F219="P6","Reactivity to noise"))))))</f>
        <v>Normal activity</v>
      </c>
      <c r="H219" s="7" t="str">
        <f>IF(F219="P1","Regular swimming, even distribution",IF(F219="P2","Fish grouped in one corner",IF(F219="P3","Rapid swimming, escape behavior",IF(F219="P4","Little movement",IF(F219="P5","Jumping out of the water",IF(F219="P6","Reaction to a tool or impact"))))))</f>
        <v>Regular swimming, even distribution</v>
      </c>
      <c r="I219" s="6" t="s">
        <v>152</v>
      </c>
    </row>
    <row r="220" spans="1:9" x14ac:dyDescent="0.35">
      <c r="A220" s="4">
        <v>46155</v>
      </c>
      <c r="B220" s="10">
        <v>0.40486111111111112</v>
      </c>
      <c r="C220" s="10">
        <v>0.41180555555555554</v>
      </c>
      <c r="D220" s="5">
        <f>C220-B220</f>
        <v>6.9444444444444198E-3</v>
      </c>
      <c r="E220" s="6" t="s">
        <v>28</v>
      </c>
      <c r="F220" s="7" t="s">
        <v>15</v>
      </c>
      <c r="G220" s="7" t="str">
        <f>IF(F220="P1","Normal activity",IF(F220="P2","Clustering / aggregation",IF(F220="P3","Agitation",IF(F220="P4","Lethargy",IF(F220="P5","Jumping / splashing",IF(F220="P6","Reactivity to noise"))))))</f>
        <v>Agitation</v>
      </c>
      <c r="H220" s="7" t="str">
        <f>IF(F220="P1","Regular swimming, even distribution",IF(F220="P2","Fish grouped in one corner",IF(F220="P3","Rapid swimming, escape behavior",IF(F220="P4","Little movement",IF(F220="P5","Jumping out of the water",IF(F220="P6","Reaction to a tool or impact"))))))</f>
        <v>Rapid swimming, escape behavior</v>
      </c>
      <c r="I220" s="6" t="s">
        <v>153</v>
      </c>
    </row>
    <row r="221" spans="1:9" x14ac:dyDescent="0.35">
      <c r="A221" s="4">
        <v>46155</v>
      </c>
      <c r="B221" s="10">
        <v>0.40486111111111112</v>
      </c>
      <c r="C221" s="10">
        <v>0.41180555555555554</v>
      </c>
      <c r="D221" s="5">
        <f>C221-B221</f>
        <v>6.9444444444444198E-3</v>
      </c>
      <c r="E221" s="6" t="s">
        <v>29</v>
      </c>
      <c r="F221" s="7" t="s">
        <v>9</v>
      </c>
      <c r="G221" s="7" t="str">
        <f>IF(F221="P1","Normal activity",IF(F221="P2","Clustering / aggregation",IF(F221="P3","Agitation",IF(F221="P4","Lethargy",IF(F221="P5","Jumping / splashing",IF(F221="P6","Reactivity to noise"))))))</f>
        <v>Normal activity</v>
      </c>
      <c r="H221" s="7" t="str">
        <f>IF(F221="P1","Regular swimming, even distribution",IF(F221="P2","Fish grouped in one corner",IF(F221="P3","Rapid swimming, escape behavior",IF(F221="P4","Little movement",IF(F221="P5","Jumping out of the water",IF(F221="P6","Reaction to a tool or impact"))))))</f>
        <v>Regular swimming, even distribution</v>
      </c>
      <c r="I221" s="6" t="s">
        <v>154</v>
      </c>
    </row>
    <row r="222" spans="1:9" x14ac:dyDescent="0.35">
      <c r="A222" s="4">
        <v>46155</v>
      </c>
      <c r="B222" s="10">
        <v>0.40486111111111112</v>
      </c>
      <c r="C222" s="10">
        <v>0.41180555555555554</v>
      </c>
      <c r="D222" s="5">
        <f>C222-B222</f>
        <v>6.9444444444444198E-3</v>
      </c>
      <c r="E222" s="6" t="s">
        <v>29</v>
      </c>
      <c r="F222" s="7" t="s">
        <v>12</v>
      </c>
      <c r="G222" s="7" t="str">
        <f>IF(F222="P1","Normal activity",IF(F222="P2","Clustering / aggregation",IF(F222="P3","Agitation",IF(F222="P4","Lethargy",IF(F222="P5","Jumping / splashing",IF(F222="P6","Reactivity to noise"))))))</f>
        <v>Clustering / aggregation</v>
      </c>
      <c r="H222" s="7" t="str">
        <f>IF(F222="P1","Regular swimming, even distribution",IF(F222="P2","Fish grouped in one corner",IF(F222="P3","Rapid swimming, escape behavior",IF(F222="P4","Little movement",IF(F222="P5","Jumping out of the water",IF(F222="P6","Reaction to a tool or impact"))))))</f>
        <v>Fish grouped in one corner</v>
      </c>
      <c r="I222" s="6" t="s">
        <v>155</v>
      </c>
    </row>
    <row r="223" spans="1:9" x14ac:dyDescent="0.35">
      <c r="A223" s="4">
        <v>46155</v>
      </c>
      <c r="B223" s="10">
        <v>0.40486111111111112</v>
      </c>
      <c r="C223" s="10">
        <v>0.41180555555555554</v>
      </c>
      <c r="D223" s="5">
        <f>C223-B223</f>
        <v>6.9444444444444198E-3</v>
      </c>
      <c r="E223" s="6" t="s">
        <v>31</v>
      </c>
      <c r="F223" s="7" t="s">
        <v>9</v>
      </c>
      <c r="G223" s="7" t="str">
        <f>IF(F223="P1","Normal activity",IF(F223="P2","Clustering / aggregation",IF(F223="P3","Agitation",IF(F223="P4","Lethargy",IF(F223="P5","Jumping / splashing",IF(F223="P6","Reactivity to noise"))))))</f>
        <v>Normal activity</v>
      </c>
      <c r="H223" s="7" t="str">
        <f>IF(F223="P1","Regular swimming, even distribution",IF(F223="P2","Fish grouped in one corner",IF(F223="P3","Rapid swimming, escape behavior",IF(F223="P4","Little movement",IF(F223="P5","Jumping out of the water",IF(F223="P6","Reaction to a tool or impact"))))))</f>
        <v>Regular swimming, even distribution</v>
      </c>
      <c r="I223" s="6" t="s">
        <v>144</v>
      </c>
    </row>
    <row r="224" spans="1:9" x14ac:dyDescent="0.35">
      <c r="A224" s="4">
        <v>46155</v>
      </c>
      <c r="B224" s="10">
        <v>0.40486111111111101</v>
      </c>
      <c r="C224" s="10">
        <v>0.41180555555555598</v>
      </c>
      <c r="D224" s="5">
        <f>C224-B224</f>
        <v>6.9444444444449749E-3</v>
      </c>
      <c r="E224" s="6" t="s">
        <v>31</v>
      </c>
      <c r="F224" s="7" t="s">
        <v>12</v>
      </c>
      <c r="G224" s="7" t="str">
        <f>IF(F224="P1","Normal activity",IF(F224="P2","Clustering / aggregation",IF(F224="P3","Agitation",IF(F224="P4","Lethargy",IF(F224="P5","Jumping / splashing",IF(F224="P6","Reactivity to noise"))))))</f>
        <v>Clustering / aggregation</v>
      </c>
      <c r="H224" s="7" t="str">
        <f>IF(F224="P1","Regular swimming, even distribution",IF(F224="P2","Fish grouped in one corner",IF(F224="P3","Rapid swimming, escape behavior",IF(F224="P4","Little movement",IF(F224="P5","Jumping out of the water",IF(F224="P6","Reaction to a tool or impact"))))))</f>
        <v>Fish grouped in one corner</v>
      </c>
      <c r="I224" s="6" t="s">
        <v>156</v>
      </c>
    </row>
    <row r="225" spans="1:9" x14ac:dyDescent="0.35">
      <c r="A225" s="4">
        <v>46155</v>
      </c>
      <c r="B225" s="10">
        <v>0.45624999999999999</v>
      </c>
      <c r="C225" s="10">
        <v>0.46319444444444446</v>
      </c>
      <c r="D225" s="5">
        <f>C225-B225</f>
        <v>6.9444444444444753E-3</v>
      </c>
      <c r="E225" s="6" t="s">
        <v>27</v>
      </c>
      <c r="F225" s="7" t="s">
        <v>9</v>
      </c>
      <c r="G225" s="7" t="str">
        <f>IF(F225="P1","Normal activity",IF(F225="P2","Clustering / aggregation",IF(F225="P3","Agitation",IF(F225="P4","Lethargy",IF(F225="P5","Jumping / splashing",IF(F225="P6","Reactivity to noise"))))))</f>
        <v>Normal activity</v>
      </c>
      <c r="H225" s="7" t="str">
        <f>IF(F225="P1","Regular swimming, even distribution",IF(F225="P2","Fish grouped in one corner",IF(F225="P3","Rapid swimming, escape behavior",IF(F225="P4","Little movement",IF(F225="P5","Jumping out of the water",IF(F225="P6","Reaction to a tool or impact"))))))</f>
        <v>Regular swimming, even distribution</v>
      </c>
      <c r="I225" s="6" t="s">
        <v>157</v>
      </c>
    </row>
    <row r="226" spans="1:9" x14ac:dyDescent="0.35">
      <c r="A226" s="4">
        <v>46155</v>
      </c>
      <c r="B226" s="10">
        <v>0.45624999999999999</v>
      </c>
      <c r="C226" s="10">
        <v>0.46319444444444446</v>
      </c>
      <c r="D226" s="5">
        <f>C226-B226</f>
        <v>6.9444444444444753E-3</v>
      </c>
      <c r="E226" s="6" t="s">
        <v>28</v>
      </c>
      <c r="F226" s="7" t="s">
        <v>9</v>
      </c>
      <c r="G226" s="7" t="str">
        <f>IF(F226="P1","Normal activity",IF(F226="P2","Clustering / aggregation",IF(F226="P3","Agitation",IF(F226="P4","Lethargy",IF(F226="P5","Jumping / splashing",IF(F226="P6","Reactivity to noise"))))))</f>
        <v>Normal activity</v>
      </c>
      <c r="H226" s="7" t="str">
        <f>IF(F226="P1","Regular swimming, even distribution",IF(F226="P2","Fish grouped in one corner",IF(F226="P3","Rapid swimming, escape behavior",IF(F226="P4","Little movement",IF(F226="P5","Jumping out of the water",IF(F226="P6","Reaction to a tool or impact"))))))</f>
        <v>Regular swimming, even distribution</v>
      </c>
      <c r="I226" s="6" t="s">
        <v>158</v>
      </c>
    </row>
    <row r="227" spans="1:9" x14ac:dyDescent="0.35">
      <c r="A227" s="4">
        <v>46155</v>
      </c>
      <c r="B227" s="10">
        <v>0.45624999999999999</v>
      </c>
      <c r="C227" s="10">
        <v>0.46319444444444446</v>
      </c>
      <c r="D227" s="5">
        <f>C227-B227</f>
        <v>6.9444444444444753E-3</v>
      </c>
      <c r="E227" s="6" t="s">
        <v>28</v>
      </c>
      <c r="F227" s="7" t="s">
        <v>12</v>
      </c>
      <c r="G227" s="7" t="str">
        <f>IF(F227="P1","Normal activity",IF(F227="P2","Clustering / aggregation",IF(F227="P3","Agitation",IF(F227="P4","Lethargy",IF(F227="P5","Jumping / splashing",IF(F227="P6","Reactivity to noise"))))))</f>
        <v>Clustering / aggregation</v>
      </c>
      <c r="H227" s="7" t="str">
        <f>IF(F227="P1","Regular swimming, even distribution",IF(F227="P2","Fish grouped in one corner",IF(F227="P3","Rapid swimming, escape behavior",IF(F227="P4","Little movement",IF(F227="P5","Jumping out of the water",IF(F227="P6","Reaction to a tool or impact"))))))</f>
        <v>Fish grouped in one corner</v>
      </c>
      <c r="I227" s="6" t="s">
        <v>159</v>
      </c>
    </row>
    <row r="228" spans="1:9" x14ac:dyDescent="0.35">
      <c r="A228" s="4">
        <v>46155</v>
      </c>
      <c r="B228" s="10">
        <v>0.45624999999999999</v>
      </c>
      <c r="C228" s="10">
        <v>0.46319444444444402</v>
      </c>
      <c r="D228" s="5">
        <f>C228-B228</f>
        <v>6.9444444444440312E-3</v>
      </c>
      <c r="E228" s="6" t="s">
        <v>29</v>
      </c>
      <c r="F228" s="7" t="s">
        <v>9</v>
      </c>
      <c r="G228" s="7" t="str">
        <f>IF(F228="P1","Normal activity",IF(F228="P2","Clustering / aggregation",IF(F228="P3","Agitation",IF(F228="P4","Lethargy",IF(F228="P5","Jumping / splashing",IF(F228="P6","Reactivity to noise"))))))</f>
        <v>Normal activity</v>
      </c>
      <c r="H228" s="7" t="str">
        <f>IF(F228="P1","Regular swimming, even distribution",IF(F228="P2","Fish grouped in one corner",IF(F228="P3","Rapid swimming, escape behavior",IF(F228="P4","Little movement",IF(F228="P5","Jumping out of the water",IF(F228="P6","Reaction to a tool or impact"))))))</f>
        <v>Regular swimming, even distribution</v>
      </c>
      <c r="I228" s="6" t="s">
        <v>157</v>
      </c>
    </row>
    <row r="229" spans="1:9" x14ac:dyDescent="0.35">
      <c r="A229" s="4">
        <v>46155</v>
      </c>
      <c r="B229" s="10">
        <v>0.45624999999999999</v>
      </c>
      <c r="C229" s="10">
        <v>0.46319444444444402</v>
      </c>
      <c r="D229" s="5">
        <f>C229-B229</f>
        <v>6.9444444444440312E-3</v>
      </c>
      <c r="E229" s="6" t="s">
        <v>29</v>
      </c>
      <c r="F229" s="7" t="s">
        <v>12</v>
      </c>
      <c r="G229" s="7" t="str">
        <f>IF(F229="P1","Normal activity",IF(F229="P2","Clustering / aggregation",IF(F229="P3","Agitation",IF(F229="P4","Lethargy",IF(F229="P5","Jumping / splashing",IF(F229="P6","Reactivity to noise"))))))</f>
        <v>Clustering / aggregation</v>
      </c>
      <c r="H229" s="7" t="str">
        <f>IF(F229="P1","Regular swimming, even distribution",IF(F229="P2","Fish grouped in one corner",IF(F229="P3","Rapid swimming, escape behavior",IF(F229="P4","Little movement",IF(F229="P5","Jumping out of the water",IF(F229="P6","Reaction to a tool or impact"))))))</f>
        <v>Fish grouped in one corner</v>
      </c>
      <c r="I229" s="6" t="s">
        <v>160</v>
      </c>
    </row>
    <row r="230" spans="1:9" x14ac:dyDescent="0.35">
      <c r="A230" s="4">
        <v>46155</v>
      </c>
      <c r="B230" s="10">
        <v>0.45624999999999999</v>
      </c>
      <c r="C230" s="10">
        <v>0.46319444444444402</v>
      </c>
      <c r="D230" s="5">
        <f>C230-B230</f>
        <v>6.9444444444440312E-3</v>
      </c>
      <c r="E230" s="6" t="s">
        <v>31</v>
      </c>
      <c r="F230" s="7" t="s">
        <v>9</v>
      </c>
      <c r="G230" s="7" t="str">
        <f>IF(F230="P1","Normal activity",IF(F230="P2","Clustering / aggregation",IF(F230="P3","Agitation",IF(F230="P4","Lethargy",IF(F230="P5","Jumping / splashing",IF(F230="P6","Reactivity to noise"))))))</f>
        <v>Normal activity</v>
      </c>
      <c r="H230" s="7" t="str">
        <f>IF(F230="P1","Regular swimming, even distribution",IF(F230="P2","Fish grouped in one corner",IF(F230="P3","Rapid swimming, escape behavior",IF(F230="P4","Little movement",IF(F230="P5","Jumping out of the water",IF(F230="P6","Reaction to a tool or impact"))))))</f>
        <v>Regular swimming, even distribution</v>
      </c>
      <c r="I230" s="6" t="s">
        <v>161</v>
      </c>
    </row>
    <row r="231" spans="1:9" x14ac:dyDescent="0.35">
      <c r="A231" s="4">
        <v>46155</v>
      </c>
      <c r="B231" s="10">
        <v>0.45624999999999999</v>
      </c>
      <c r="C231" s="10">
        <v>0.46319444444444402</v>
      </c>
      <c r="D231" s="5">
        <f>C231-B231</f>
        <v>6.9444444444440312E-3</v>
      </c>
      <c r="E231" s="6" t="s">
        <v>31</v>
      </c>
      <c r="F231" s="7" t="s">
        <v>12</v>
      </c>
      <c r="G231" s="7" t="str">
        <f>IF(F231="P1","Normal activity",IF(F231="P2","Clustering / aggregation",IF(F231="P3","Agitation",IF(F231="P4","Lethargy",IF(F231="P5","Jumping / splashing",IF(F231="P6","Reactivity to noise"))))))</f>
        <v>Clustering / aggregation</v>
      </c>
      <c r="H231" s="7" t="str">
        <f>IF(F231="P1","Regular swimming, even distribution",IF(F231="P2","Fish grouped in one corner",IF(F231="P3","Rapid swimming, escape behavior",IF(F231="P4","Little movement",IF(F231="P5","Jumping out of the water",IF(F231="P6","Reaction to a tool or impact"))))))</f>
        <v>Fish grouped in one corner</v>
      </c>
      <c r="I231" s="6" t="s">
        <v>162</v>
      </c>
    </row>
    <row r="232" spans="1:9" x14ac:dyDescent="0.35">
      <c r="A232" s="4">
        <v>46155</v>
      </c>
      <c r="B232" s="10">
        <v>0.45624999999999999</v>
      </c>
      <c r="C232" s="10">
        <v>0.46319444444444402</v>
      </c>
      <c r="D232" s="5">
        <f>C232-B232</f>
        <v>6.9444444444440312E-3</v>
      </c>
      <c r="E232" s="6" t="s">
        <v>31</v>
      </c>
      <c r="F232" s="7"/>
      <c r="G232" s="7" t="b">
        <f>IF(F232="P1","Normal activity",IF(F232="P2","Clustering / aggregation",IF(F232="P3","Agitation",IF(F232="P4","Lethargy",IF(F232="P5","Jumping / splashing",IF(F232="P6","Reactivity to noise"))))))</f>
        <v>0</v>
      </c>
      <c r="H232" s="7" t="b">
        <f>IF(F232="P1","Regular swimming, even distribution",IF(F232="P2","Fish grouped in one corner",IF(F232="P3","Rapid swimming, escape behavior",IF(F232="P4","Little movement",IF(F232="P5","Jumping out of the water",IF(F232="P6","Reaction to a tool or impact"))))))</f>
        <v>0</v>
      </c>
      <c r="I232" s="6" t="s">
        <v>163</v>
      </c>
    </row>
    <row r="233" spans="1:9" x14ac:dyDescent="0.35">
      <c r="A233" s="4">
        <v>46155</v>
      </c>
      <c r="B233" s="10">
        <v>0.45624999999999999</v>
      </c>
      <c r="C233" s="10">
        <v>0.46319444444444402</v>
      </c>
      <c r="D233" s="5">
        <f>C233-B233</f>
        <v>6.9444444444440312E-3</v>
      </c>
      <c r="E233" s="6" t="s">
        <v>27</v>
      </c>
      <c r="F233" s="7" t="s">
        <v>15</v>
      </c>
      <c r="G233" s="7" t="str">
        <f>IF(F233="P1","Normal activity",IF(F233="P2","Clustering / aggregation",IF(F233="P3","Agitation",IF(F233="P4","Lethargy",IF(F233="P5","Jumping / splashing",IF(F233="P6","Reactivity to noise"))))))</f>
        <v>Agitation</v>
      </c>
      <c r="H233" s="7" t="str">
        <f>IF(F233="P1","Regular swimming, even distribution",IF(F233="P2","Fish grouped in one corner",IF(F233="P3","Rapid swimming, escape behavior",IF(F233="P4","Little movement",IF(F233="P5","Jumping out of the water",IF(F233="P6","Reaction to a tool or impact"))))))</f>
        <v>Rapid swimming, escape behavior</v>
      </c>
      <c r="I233" s="6" t="s">
        <v>164</v>
      </c>
    </row>
    <row r="234" spans="1:9" x14ac:dyDescent="0.35">
      <c r="A234" s="4">
        <v>46155</v>
      </c>
      <c r="B234" s="10">
        <v>0.46388888888888891</v>
      </c>
      <c r="C234" s="10">
        <v>0.46736111111111112</v>
      </c>
      <c r="D234" s="5">
        <f>C234-B234</f>
        <v>3.4722222222222099E-3</v>
      </c>
      <c r="E234" s="6"/>
      <c r="F234" s="7"/>
      <c r="G234" s="7" t="b">
        <f>IF(F234="P1","Normal activity",IF(F234="P2","Clustering / aggregation",IF(F234="P3","Agitation",IF(F234="P4","Lethargy",IF(F234="P5","Jumping / splashing",IF(F234="P6","Reactivity to noise"))))))</f>
        <v>0</v>
      </c>
      <c r="H234" s="7" t="b">
        <f>IF(F234="P1","Regular swimming, even distribution",IF(F234="P2","Fish grouped in one corner",IF(F234="P3","Rapid swimming, escape behavior",IF(F234="P4","Little movement",IF(F234="P5","Jumping out of the water",IF(F234="P6","Reaction to a tool or impact"))))))</f>
        <v>0</v>
      </c>
      <c r="I234" s="6" t="s">
        <v>98</v>
      </c>
    </row>
    <row r="235" spans="1:9" x14ac:dyDescent="0.35">
      <c r="A235" s="4">
        <v>46155</v>
      </c>
      <c r="B235" s="10">
        <v>0.46805555555555556</v>
      </c>
      <c r="C235" s="10">
        <v>0.47499999999999998</v>
      </c>
      <c r="D235" s="5">
        <f>C235-B235</f>
        <v>6.9444444444444198E-3</v>
      </c>
      <c r="E235" s="6" t="s">
        <v>27</v>
      </c>
      <c r="F235" s="7" t="s">
        <v>9</v>
      </c>
      <c r="G235" s="7" t="str">
        <f>IF(F235="P1","Normal activity",IF(F235="P2","Clustering / aggregation",IF(F235="P3","Agitation",IF(F235="P4","Lethargy",IF(F235="P5","Jumping / splashing",IF(F235="P6","Reactivity to noise"))))))</f>
        <v>Normal activity</v>
      </c>
      <c r="H235" s="7" t="str">
        <f>IF(F235="P1","Regular swimming, even distribution",IF(F235="P2","Fish grouped in one corner",IF(F235="P3","Rapid swimming, escape behavior",IF(F235="P4","Little movement",IF(F235="P5","Jumping out of the water",IF(F235="P6","Reaction to a tool or impact"))))))</f>
        <v>Regular swimming, even distribution</v>
      </c>
      <c r="I235" s="6" t="s">
        <v>165</v>
      </c>
    </row>
    <row r="236" spans="1:9" x14ac:dyDescent="0.35">
      <c r="A236" s="4">
        <v>46155</v>
      </c>
      <c r="B236" s="10">
        <v>0.46805555555555556</v>
      </c>
      <c r="C236" s="10">
        <v>0.47499999999999998</v>
      </c>
      <c r="D236" s="5">
        <f>C236-B236</f>
        <v>6.9444444444444198E-3</v>
      </c>
      <c r="E236" s="6" t="s">
        <v>28</v>
      </c>
      <c r="F236" s="7" t="s">
        <v>9</v>
      </c>
      <c r="G236" s="7" t="str">
        <f>IF(F236="P1","Normal activity",IF(F236="P2","Clustering / aggregation",IF(F236="P3","Agitation",IF(F236="P4","Lethargy",IF(F236="P5","Jumping / splashing",IF(F236="P6","Reactivity to noise"))))))</f>
        <v>Normal activity</v>
      </c>
      <c r="H236" s="7" t="str">
        <f>IF(F236="P1","Regular swimming, even distribution",IF(F236="P2","Fish grouped in one corner",IF(F236="P3","Rapid swimming, escape behavior",IF(F236="P4","Little movement",IF(F236="P5","Jumping out of the water",IF(F236="P6","Reaction to a tool or impact"))))))</f>
        <v>Regular swimming, even distribution</v>
      </c>
      <c r="I236" s="6" t="s">
        <v>166</v>
      </c>
    </row>
    <row r="237" spans="1:9" x14ac:dyDescent="0.35">
      <c r="A237" s="4">
        <v>46155</v>
      </c>
      <c r="B237" s="10">
        <v>0.46805555555555556</v>
      </c>
      <c r="C237" s="10">
        <v>0.47499999999999998</v>
      </c>
      <c r="D237" s="5">
        <f>C237-B237</f>
        <v>6.9444444444444198E-3</v>
      </c>
      <c r="E237" s="6" t="s">
        <v>28</v>
      </c>
      <c r="F237" s="7" t="s">
        <v>15</v>
      </c>
      <c r="G237" s="7" t="str">
        <f>IF(F237="P1","Normal activity",IF(F237="P2","Clustering / aggregation",IF(F237="P3","Agitation",IF(F237="P4","Lethargy",IF(F237="P5","Jumping / splashing",IF(F237="P6","Reactivity to noise"))))))</f>
        <v>Agitation</v>
      </c>
      <c r="H237" s="7" t="str">
        <f>IF(F237="P1","Regular swimming, even distribution",IF(F237="P2","Fish grouped in one corner",IF(F237="P3","Rapid swimming, escape behavior",IF(F237="P4","Little movement",IF(F237="P5","Jumping out of the water",IF(F237="P6","Reaction to a tool or impact"))))))</f>
        <v>Rapid swimming, escape behavior</v>
      </c>
      <c r="I237" s="6" t="s">
        <v>167</v>
      </c>
    </row>
    <row r="238" spans="1:9" x14ac:dyDescent="0.35">
      <c r="A238" s="4">
        <v>46155</v>
      </c>
      <c r="B238" s="10">
        <v>0.46805555555555556</v>
      </c>
      <c r="C238" s="10">
        <v>0.47499999999999998</v>
      </c>
      <c r="D238" s="5">
        <f>C238-B238</f>
        <v>6.9444444444444198E-3</v>
      </c>
      <c r="E238" s="6" t="s">
        <v>27</v>
      </c>
      <c r="F238" s="7" t="s">
        <v>15</v>
      </c>
      <c r="G238" s="7" t="str">
        <f>IF(F238="P1","Normal activity",IF(F238="P2","Clustering / aggregation",IF(F238="P3","Agitation",IF(F238="P4","Lethargy",IF(F238="P5","Jumping / splashing",IF(F238="P6","Reactivity to noise"))))))</f>
        <v>Agitation</v>
      </c>
      <c r="H238" s="7" t="str">
        <f>IF(F238="P1","Regular swimming, even distribution",IF(F238="P2","Fish grouped in one corner",IF(F238="P3","Rapid swimming, escape behavior",IF(F238="P4","Little movement",IF(F238="P5","Jumping out of the water",IF(F238="P6","Reaction to a tool or impact"))))))</f>
        <v>Rapid swimming, escape behavior</v>
      </c>
      <c r="I238" s="6" t="s">
        <v>168</v>
      </c>
    </row>
    <row r="239" spans="1:9" x14ac:dyDescent="0.35">
      <c r="A239" s="4">
        <v>46155</v>
      </c>
      <c r="B239" s="10">
        <v>0.46805555555555556</v>
      </c>
      <c r="C239" s="10">
        <v>0.47499999999999998</v>
      </c>
      <c r="D239" s="5">
        <f>C239-B239</f>
        <v>6.9444444444444198E-3</v>
      </c>
      <c r="E239" s="6" t="s">
        <v>28</v>
      </c>
      <c r="F239" s="7" t="s">
        <v>15</v>
      </c>
      <c r="G239" s="7" t="str">
        <f>IF(F239="P1","Normal activity",IF(F239="P2","Clustering / aggregation",IF(F239="P3","Agitation",IF(F239="P4","Lethargy",IF(F239="P5","Jumping / splashing",IF(F239="P6","Reactivity to noise"))))))</f>
        <v>Agitation</v>
      </c>
      <c r="H239" s="7" t="str">
        <f>IF(F239="P1","Regular swimming, even distribution",IF(F239="P2","Fish grouped in one corner",IF(F239="P3","Rapid swimming, escape behavior",IF(F239="P4","Little movement",IF(F239="P5","Jumping out of the water",IF(F239="P6","Reaction to a tool or impact"))))))</f>
        <v>Rapid swimming, escape behavior</v>
      </c>
      <c r="I239" s="6" t="s">
        <v>169</v>
      </c>
    </row>
    <row r="240" spans="1:9" x14ac:dyDescent="0.35">
      <c r="A240" s="4">
        <v>46155</v>
      </c>
      <c r="B240" s="10">
        <v>0.46805555555555556</v>
      </c>
      <c r="C240" s="10">
        <v>0.47499999999999998</v>
      </c>
      <c r="D240" s="5">
        <f>C240-B240</f>
        <v>6.9444444444444198E-3</v>
      </c>
      <c r="E240" s="6" t="s">
        <v>29</v>
      </c>
      <c r="F240" s="7" t="s">
        <v>9</v>
      </c>
      <c r="G240" s="7" t="str">
        <f>IF(F240="P1","Normal activity",IF(F240="P2","Clustering / aggregation",IF(F240="P3","Agitation",IF(F240="P4","Lethargy",IF(F240="P5","Jumping / splashing",IF(F240="P6","Reactivity to noise"))))))</f>
        <v>Normal activity</v>
      </c>
      <c r="H240" s="7" t="str">
        <f>IF(F240="P1","Regular swimming, even distribution",IF(F240="P2","Fish grouped in one corner",IF(F240="P3","Rapid swimming, escape behavior",IF(F240="P4","Little movement",IF(F240="P5","Jumping out of the water",IF(F240="P6","Reaction to a tool or impact"))))))</f>
        <v>Regular swimming, even distribution</v>
      </c>
      <c r="I240" s="6" t="s">
        <v>170</v>
      </c>
    </row>
    <row r="241" spans="1:9" x14ac:dyDescent="0.35">
      <c r="A241" s="4">
        <v>46155</v>
      </c>
      <c r="B241" s="10">
        <v>0.46805555555555556</v>
      </c>
      <c r="C241" s="10">
        <v>0.47499999999999998</v>
      </c>
      <c r="D241" s="5">
        <f>C241-B241</f>
        <v>6.9444444444444198E-3</v>
      </c>
      <c r="E241" s="6" t="s">
        <v>29</v>
      </c>
      <c r="F241" s="7" t="s">
        <v>12</v>
      </c>
      <c r="G241" s="7" t="str">
        <f>IF(F241="P1","Normal activity",IF(F241="P2","Clustering / aggregation",IF(F241="P3","Agitation",IF(F241="P4","Lethargy",IF(F241="P5","Jumping / splashing",IF(F241="P6","Reactivity to noise"))))))</f>
        <v>Clustering / aggregation</v>
      </c>
      <c r="H241" s="7" t="str">
        <f>IF(F241="P1","Regular swimming, even distribution",IF(F241="P2","Fish grouped in one corner",IF(F241="P3","Rapid swimming, escape behavior",IF(F241="P4","Little movement",IF(F241="P5","Jumping out of the water",IF(F241="P6","Reaction to a tool or impact"))))))</f>
        <v>Fish grouped in one corner</v>
      </c>
      <c r="I241" s="6" t="s">
        <v>171</v>
      </c>
    </row>
    <row r="242" spans="1:9" x14ac:dyDescent="0.35">
      <c r="A242" s="4">
        <v>46155</v>
      </c>
      <c r="B242" s="10">
        <v>0.46805555555555556</v>
      </c>
      <c r="C242" s="10">
        <v>0.47499999999999998</v>
      </c>
      <c r="D242" s="5">
        <f>C242-B242</f>
        <v>6.9444444444444198E-3</v>
      </c>
      <c r="E242" s="6" t="s">
        <v>29</v>
      </c>
      <c r="F242" s="7"/>
      <c r="G242" s="7" t="b">
        <f>IF(F242="P1","Normal activity",IF(F242="P2","Clustering / aggregation",IF(F242="P3","Agitation",IF(F242="P4","Lethargy",IF(F242="P5","Jumping / splashing",IF(F242="P6","Reactivity to noise"))))))</f>
        <v>0</v>
      </c>
      <c r="H242" s="7" t="b">
        <f>IF(F242="P1","Regular swimming, even distribution",IF(F242="P2","Fish grouped in one corner",IF(F242="P3","Rapid swimming, escape behavior",IF(F242="P4","Little movement",IF(F242="P5","Jumping out of the water",IF(F242="P6","Reaction to a tool or impact"))))))</f>
        <v>0</v>
      </c>
      <c r="I242" s="6" t="s">
        <v>172</v>
      </c>
    </row>
    <row r="243" spans="1:9" x14ac:dyDescent="0.35">
      <c r="A243" s="4">
        <v>46155</v>
      </c>
      <c r="B243" s="10">
        <v>0.46805555555555556</v>
      </c>
      <c r="C243" s="10">
        <v>0.47499999999999998</v>
      </c>
      <c r="D243" s="5">
        <f>C243-B243</f>
        <v>6.9444444444444198E-3</v>
      </c>
      <c r="E243" s="6" t="s">
        <v>31</v>
      </c>
      <c r="F243" s="7" t="s">
        <v>9</v>
      </c>
      <c r="G243" s="7" t="str">
        <f>IF(F243="P1","Normal activity",IF(F243="P2","Clustering / aggregation",IF(F243="P3","Agitation",IF(F243="P4","Lethargy",IF(F243="P5","Jumping / splashing",IF(F243="P6","Reactivity to noise"))))))</f>
        <v>Normal activity</v>
      </c>
      <c r="H243" s="7" t="str">
        <f>IF(F243="P1","Regular swimming, even distribution",IF(F243="P2","Fish grouped in one corner",IF(F243="P3","Rapid swimming, escape behavior",IF(F243="P4","Little movement",IF(F243="P5","Jumping out of the water",IF(F243="P6","Reaction to a tool or impact"))))))</f>
        <v>Regular swimming, even distribution</v>
      </c>
      <c r="I243" s="6" t="s">
        <v>152</v>
      </c>
    </row>
    <row r="244" spans="1:9" x14ac:dyDescent="0.35">
      <c r="A244" s="4">
        <v>46155</v>
      </c>
      <c r="B244" s="10">
        <v>0.46805555555555556</v>
      </c>
      <c r="C244" s="10">
        <v>0.47499999999999998</v>
      </c>
      <c r="D244" s="5">
        <f>C244-B244</f>
        <v>6.9444444444444198E-3</v>
      </c>
      <c r="E244" s="6" t="s">
        <v>31</v>
      </c>
      <c r="F244" s="7" t="s">
        <v>12</v>
      </c>
      <c r="G244" s="7" t="str">
        <f>IF(F244="P1","Normal activity",IF(F244="P2","Clustering / aggregation",IF(F244="P3","Agitation",IF(F244="P4","Lethargy",IF(F244="P5","Jumping / splashing",IF(F244="P6","Reactivity to noise"))))))</f>
        <v>Clustering / aggregation</v>
      </c>
      <c r="H244" s="7" t="str">
        <f>IF(F244="P1","Regular swimming, even distribution",IF(F244="P2","Fish grouped in one corner",IF(F244="P3","Rapid swimming, escape behavior",IF(F244="P4","Little movement",IF(F244="P5","Jumping out of the water",IF(F244="P6","Reaction to a tool or impact"))))))</f>
        <v>Fish grouped in one corner</v>
      </c>
      <c r="I244" s="6" t="s">
        <v>173</v>
      </c>
    </row>
    <row r="245" spans="1:9" x14ac:dyDescent="0.35">
      <c r="A245" s="4">
        <v>46155</v>
      </c>
      <c r="B245" s="10">
        <v>0.52569444444444446</v>
      </c>
      <c r="C245" s="10">
        <v>0.53263888888888888</v>
      </c>
      <c r="D245" s="5">
        <f>C245-B245</f>
        <v>6.9444444444444198E-3</v>
      </c>
      <c r="E245" s="6" t="s">
        <v>27</v>
      </c>
      <c r="F245" s="7" t="s">
        <v>15</v>
      </c>
      <c r="G245" s="7" t="str">
        <f>IF(F245="P1","Normal activity",IF(F245="P2","Clustering / aggregation",IF(F245="P3","Agitation",IF(F245="P4","Lethargy",IF(F245="P5","Jumping / splashing",IF(F245="P6","Reactivity to noise"))))))</f>
        <v>Agitation</v>
      </c>
      <c r="H245" s="7" t="str">
        <f>IF(F245="P1","Regular swimming, even distribution",IF(F245="P2","Fish grouped in one corner",IF(F245="P3","Rapid swimming, escape behavior",IF(F245="P4","Little movement",IF(F245="P5","Jumping out of the water",IF(F245="P6","Reaction to a tool or impact"))))))</f>
        <v>Rapid swimming, escape behavior</v>
      </c>
      <c r="I245" s="6" t="s">
        <v>174</v>
      </c>
    </row>
    <row r="246" spans="1:9" x14ac:dyDescent="0.35">
      <c r="A246" s="4">
        <v>46155</v>
      </c>
      <c r="B246" s="10">
        <v>0.52569444444444446</v>
      </c>
      <c r="C246" s="10">
        <v>0.53263888888888888</v>
      </c>
      <c r="D246" s="5">
        <f>C246-B246</f>
        <v>6.9444444444444198E-3</v>
      </c>
      <c r="E246" s="6" t="s">
        <v>27</v>
      </c>
      <c r="F246" s="7" t="s">
        <v>9</v>
      </c>
      <c r="G246" s="7" t="str">
        <f>IF(F246="P1","Normal activity",IF(F246="P2","Clustering / aggregation",IF(F246="P3","Agitation",IF(F246="P4","Lethargy",IF(F246="P5","Jumping / splashing",IF(F246="P6","Reactivity to noise"))))))</f>
        <v>Normal activity</v>
      </c>
      <c r="H246" s="7" t="str">
        <f>IF(F246="P1","Regular swimming, even distribution",IF(F246="P2","Fish grouped in one corner",IF(F246="P3","Rapid swimming, escape behavior",IF(F246="P4","Little movement",IF(F246="P5","Jumping out of the water",IF(F246="P6","Reaction to a tool or impact"))))))</f>
        <v>Regular swimming, even distribution</v>
      </c>
      <c r="I246" s="6" t="s">
        <v>175</v>
      </c>
    </row>
    <row r="247" spans="1:9" x14ac:dyDescent="0.35">
      <c r="A247" s="4">
        <v>46155</v>
      </c>
      <c r="B247" s="10">
        <v>0.52569444444444402</v>
      </c>
      <c r="C247" s="10">
        <v>0.53263888888888899</v>
      </c>
      <c r="D247" s="5">
        <f>C247-B247</f>
        <v>6.9444444444449749E-3</v>
      </c>
      <c r="E247" s="6" t="s">
        <v>28</v>
      </c>
      <c r="F247" s="7" t="s">
        <v>9</v>
      </c>
      <c r="G247" s="7" t="str">
        <f>IF(F247="P1","Normal activity",IF(F247="P2","Clustering / aggregation",IF(F247="P3","Agitation",IF(F247="P4","Lethargy",IF(F247="P5","Jumping / splashing",IF(F247="P6","Reactivity to noise"))))))</f>
        <v>Normal activity</v>
      </c>
      <c r="H247" s="7" t="str">
        <f>IF(F247="P1","Regular swimming, even distribution",IF(F247="P2","Fish grouped in one corner",IF(F247="P3","Rapid swimming, escape behavior",IF(F247="P4","Little movement",IF(F247="P5","Jumping out of the water",IF(F247="P6","Reaction to a tool or impact"))))))</f>
        <v>Regular swimming, even distribution</v>
      </c>
      <c r="I247" s="6" t="s">
        <v>176</v>
      </c>
    </row>
    <row r="248" spans="1:9" x14ac:dyDescent="0.35">
      <c r="A248" s="4">
        <v>46155</v>
      </c>
      <c r="B248" s="10">
        <v>0.52569444444444402</v>
      </c>
      <c r="C248" s="10">
        <v>0.53263888888888899</v>
      </c>
      <c r="D248" s="5">
        <f>C248-B248</f>
        <v>6.9444444444449749E-3</v>
      </c>
      <c r="E248" s="6" t="s">
        <v>28</v>
      </c>
      <c r="F248" s="7" t="s">
        <v>15</v>
      </c>
      <c r="G248" s="7" t="str">
        <f>IF(F248="P1","Normal activity",IF(F248="P2","Clustering / aggregation",IF(F248="P3","Agitation",IF(F248="P4","Lethargy",IF(F248="P5","Jumping / splashing",IF(F248="P6","Reactivity to noise"))))))</f>
        <v>Agitation</v>
      </c>
      <c r="H248" s="7" t="str">
        <f>IF(F248="P1","Regular swimming, even distribution",IF(F248="P2","Fish grouped in one corner",IF(F248="P3","Rapid swimming, escape behavior",IF(F248="P4","Little movement",IF(F248="P5","Jumping out of the water",IF(F248="P6","Reaction to a tool or impact"))))))</f>
        <v>Rapid swimming, escape behavior</v>
      </c>
      <c r="I248" s="6" t="s">
        <v>177</v>
      </c>
    </row>
    <row r="249" spans="1:9" x14ac:dyDescent="0.35">
      <c r="A249" s="4">
        <v>46155</v>
      </c>
      <c r="B249" s="10">
        <v>0.52569444444444402</v>
      </c>
      <c r="C249" s="10">
        <v>0.53263888888888899</v>
      </c>
      <c r="D249" s="5">
        <f>C249-B249</f>
        <v>6.9444444444449749E-3</v>
      </c>
      <c r="E249" s="6" t="s">
        <v>28</v>
      </c>
      <c r="F249" s="7" t="s">
        <v>12</v>
      </c>
      <c r="G249" s="7" t="str">
        <f>IF(F249="P1","Normal activity",IF(F249="P2","Clustering / aggregation",IF(F249="P3","Agitation",IF(F249="P4","Lethargy",IF(F249="P5","Jumping / splashing",IF(F249="P6","Reactivity to noise"))))))</f>
        <v>Clustering / aggregation</v>
      </c>
      <c r="H249" s="7" t="str">
        <f>IF(F249="P1","Regular swimming, even distribution",IF(F249="P2","Fish grouped in one corner",IF(F249="P3","Rapid swimming, escape behavior",IF(F249="P4","Little movement",IF(F249="P5","Jumping out of the water",IF(F249="P6","Reaction to a tool or impact"))))))</f>
        <v>Fish grouped in one corner</v>
      </c>
      <c r="I249" s="6" t="s">
        <v>178</v>
      </c>
    </row>
    <row r="250" spans="1:9" x14ac:dyDescent="0.35">
      <c r="A250" s="4">
        <v>46155</v>
      </c>
      <c r="B250" s="10">
        <v>0.52569444444444402</v>
      </c>
      <c r="C250" s="10">
        <v>0.53263888888888899</v>
      </c>
      <c r="D250" s="5">
        <f>C250-B250</f>
        <v>6.9444444444449749E-3</v>
      </c>
      <c r="E250" s="6" t="s">
        <v>29</v>
      </c>
      <c r="F250" s="7" t="s">
        <v>9</v>
      </c>
      <c r="G250" s="7" t="str">
        <f>IF(F250="P1","Normal activity",IF(F250="P2","Clustering / aggregation",IF(F250="P3","Agitation",IF(F250="P4","Lethargy",IF(F250="P5","Jumping / splashing",IF(F250="P6","Reactivity to noise"))))))</f>
        <v>Normal activity</v>
      </c>
      <c r="H250" s="7" t="str">
        <f>IF(F250="P1","Regular swimming, even distribution",IF(F250="P2","Fish grouped in one corner",IF(F250="P3","Rapid swimming, escape behavior",IF(F250="P4","Little movement",IF(F250="P5","Jumping out of the water",IF(F250="P6","Reaction to a tool or impact"))))))</f>
        <v>Regular swimming, even distribution</v>
      </c>
      <c r="I250" s="6" t="s">
        <v>152</v>
      </c>
    </row>
    <row r="251" spans="1:9" x14ac:dyDescent="0.35">
      <c r="A251" s="4">
        <v>46155</v>
      </c>
      <c r="B251" s="10">
        <v>0.52569444444444402</v>
      </c>
      <c r="C251" s="10">
        <v>0.53263888888888899</v>
      </c>
      <c r="D251" s="5">
        <f>C251-B251</f>
        <v>6.9444444444449749E-3</v>
      </c>
      <c r="E251" s="6" t="s">
        <v>29</v>
      </c>
      <c r="F251" s="7" t="s">
        <v>12</v>
      </c>
      <c r="G251" s="7" t="str">
        <f>IF(F251="P1","Normal activity",IF(F251="P2","Clustering / aggregation",IF(F251="P3","Agitation",IF(F251="P4","Lethargy",IF(F251="P5","Jumping / splashing",IF(F251="P6","Reactivity to noise"))))))</f>
        <v>Clustering / aggregation</v>
      </c>
      <c r="H251" s="7" t="str">
        <f>IF(F251="P1","Regular swimming, even distribution",IF(F251="P2","Fish grouped in one corner",IF(F251="P3","Rapid swimming, escape behavior",IF(F251="P4","Little movement",IF(F251="P5","Jumping out of the water",IF(F251="P6","Reaction to a tool or impact"))))))</f>
        <v>Fish grouped in one corner</v>
      </c>
      <c r="I251" s="6" t="s">
        <v>179</v>
      </c>
    </row>
    <row r="252" spans="1:9" x14ac:dyDescent="0.35">
      <c r="A252" s="4">
        <v>46155</v>
      </c>
      <c r="B252" s="10">
        <v>0.52569444444444402</v>
      </c>
      <c r="C252" s="10">
        <v>0.53263888888888899</v>
      </c>
      <c r="D252" s="5">
        <f>C252-B252</f>
        <v>6.9444444444449749E-3</v>
      </c>
      <c r="E252" s="6" t="s">
        <v>31</v>
      </c>
      <c r="F252" s="7" t="s">
        <v>12</v>
      </c>
      <c r="G252" s="7" t="str">
        <f>IF(F252="P1","Normal activity",IF(F252="P2","Clustering / aggregation",IF(F252="P3","Agitation",IF(F252="P4","Lethargy",IF(F252="P5","Jumping / splashing",IF(F252="P6","Reactivity to noise"))))))</f>
        <v>Clustering / aggregation</v>
      </c>
      <c r="H252" s="7" t="str">
        <f>IF(F252="P1","Regular swimming, even distribution",IF(F252="P2","Fish grouped in one corner",IF(F252="P3","Rapid swimming, escape behavior",IF(F252="P4","Little movement",IF(F252="P5","Jumping out of the water",IF(F252="P6","Reaction to a tool or impact"))))))</f>
        <v>Fish grouped in one corner</v>
      </c>
      <c r="I252" s="6" t="s">
        <v>180</v>
      </c>
    </row>
    <row r="253" spans="1:9" x14ac:dyDescent="0.35">
      <c r="A253" s="4">
        <v>46155</v>
      </c>
      <c r="B253" s="10">
        <v>0.52569444444444402</v>
      </c>
      <c r="C253" s="10">
        <v>0.53263888888888899</v>
      </c>
      <c r="D253" s="5">
        <f>C253-B253</f>
        <v>6.9444444444449749E-3</v>
      </c>
      <c r="E253" s="6" t="s">
        <v>31</v>
      </c>
      <c r="F253" s="7" t="s">
        <v>9</v>
      </c>
      <c r="G253" s="7" t="str">
        <f>IF(F253="P1","Normal activity",IF(F253="P2","Clustering / aggregation",IF(F253="P3","Agitation",IF(F253="P4","Lethargy",IF(F253="P5","Jumping / splashing",IF(F253="P6","Reactivity to noise"))))))</f>
        <v>Normal activity</v>
      </c>
      <c r="H253" s="7" t="str">
        <f>IF(F253="P1","Regular swimming, even distribution",IF(F253="P2","Fish grouped in one corner",IF(F253="P3","Rapid swimming, escape behavior",IF(F253="P4","Little movement",IF(F253="P5","Jumping out of the water",IF(F253="P6","Reaction to a tool or impact"))))))</f>
        <v>Regular swimming, even distribution</v>
      </c>
      <c r="I253" s="6" t="s">
        <v>181</v>
      </c>
    </row>
    <row r="254" spans="1:9" x14ac:dyDescent="0.35">
      <c r="A254" s="4">
        <v>46155</v>
      </c>
      <c r="B254" s="10">
        <v>0.52569444444444402</v>
      </c>
      <c r="C254" s="10">
        <v>0.53263888888888899</v>
      </c>
      <c r="D254" s="5">
        <f>C254-B254</f>
        <v>6.9444444444449749E-3</v>
      </c>
      <c r="E254" s="6" t="s">
        <v>31</v>
      </c>
      <c r="F254" s="7" t="s">
        <v>9</v>
      </c>
      <c r="G254" s="7" t="str">
        <f>IF(F254="P1","Normal activity",IF(F254="P2","Clustering / aggregation",IF(F254="P3","Agitation",IF(F254="P4","Lethargy",IF(F254="P5","Jumping / splashing",IF(F254="P6","Reactivity to noise"))))))</f>
        <v>Normal activity</v>
      </c>
      <c r="H254" s="7" t="str">
        <f>IF(F254="P1","Regular swimming, even distribution",IF(F254="P2","Fish grouped in one corner",IF(F254="P3","Rapid swimming, escape behavior",IF(F254="P4","Little movement",IF(F254="P5","Jumping out of the water",IF(F254="P6","Reaction to a tool or impact"))))))</f>
        <v>Regular swimming, even distribution</v>
      </c>
      <c r="I254" s="6" t="s">
        <v>176</v>
      </c>
    </row>
    <row r="255" spans="1:9" x14ac:dyDescent="0.35">
      <c r="A255" s="4">
        <v>46155</v>
      </c>
      <c r="B255" s="10">
        <v>0.53333333333333333</v>
      </c>
      <c r="C255" s="10">
        <v>0.53680555555555554</v>
      </c>
      <c r="D255" s="5">
        <f>C255-B255</f>
        <v>3.4722222222222099E-3</v>
      </c>
      <c r="E255" s="6"/>
      <c r="F255" s="7"/>
      <c r="G255" s="7" t="b">
        <f>IF(F255="P1","Normal activity",IF(F255="P2","Clustering / aggregation",IF(F255="P3","Agitation",IF(F255="P4","Lethargy",IF(F255="P5","Jumping / splashing",IF(F255="P6","Reactivity to noise"))))))</f>
        <v>0</v>
      </c>
      <c r="H255" s="7" t="b">
        <f>IF(F255="P1","Regular swimming, even distribution",IF(F255="P2","Fish grouped in one corner",IF(F255="P3","Rapid swimming, escape behavior",IF(F255="P4","Little movement",IF(F255="P5","Jumping out of the water",IF(F255="P6","Reaction to a tool or impact"))))))</f>
        <v>0</v>
      </c>
      <c r="I255" s="6" t="s">
        <v>182</v>
      </c>
    </row>
    <row r="256" spans="1:9" x14ac:dyDescent="0.35">
      <c r="A256" s="4">
        <v>46155</v>
      </c>
      <c r="B256" s="10">
        <v>0.5395833333333333</v>
      </c>
      <c r="C256" s="10">
        <v>0.5444444444444444</v>
      </c>
      <c r="D256" s="5">
        <f>C256-B256</f>
        <v>4.8611111111110938E-3</v>
      </c>
      <c r="E256" s="6" t="s">
        <v>27</v>
      </c>
      <c r="F256" s="7" t="s">
        <v>9</v>
      </c>
      <c r="G256" s="7" t="str">
        <f>IF(F256="P1","Normal activity",IF(F256="P2","Clustering / aggregation",IF(F256="P3","Agitation",IF(F256="P4","Lethargy",IF(F256="P5","Jumping / splashing",IF(F256="P6","Reactivity to noise"))))))</f>
        <v>Normal activity</v>
      </c>
      <c r="H256" s="7" t="str">
        <f>IF(F256="P1","Regular swimming, even distribution",IF(F256="P2","Fish grouped in one corner",IF(F256="P3","Rapid swimming, escape behavior",IF(F256="P4","Little movement",IF(F256="P5","Jumping out of the water",IF(F256="P6","Reaction to a tool or impact"))))))</f>
        <v>Regular swimming, even distribution</v>
      </c>
      <c r="I256" s="6" t="s">
        <v>183</v>
      </c>
    </row>
    <row r="257" spans="1:9" x14ac:dyDescent="0.35">
      <c r="A257" s="4">
        <v>46155</v>
      </c>
      <c r="B257" s="10">
        <v>0.5395833333333333</v>
      </c>
      <c r="C257" s="10">
        <v>0.5444444444444444</v>
      </c>
      <c r="D257" s="5">
        <f>C257-B257</f>
        <v>4.8611111111110938E-3</v>
      </c>
      <c r="E257" s="6" t="s">
        <v>28</v>
      </c>
      <c r="F257" s="7" t="s">
        <v>9</v>
      </c>
      <c r="G257" s="7" t="str">
        <f>IF(F257="P1","Normal activity",IF(F257="P2","Clustering / aggregation",IF(F257="P3","Agitation",IF(F257="P4","Lethargy",IF(F257="P5","Jumping / splashing",IF(F257="P6","Reactivity to noise"))))))</f>
        <v>Normal activity</v>
      </c>
      <c r="H257" s="7" t="str">
        <f>IF(F257="P1","Regular swimming, even distribution",IF(F257="P2","Fish grouped in one corner",IF(F257="P3","Rapid swimming, escape behavior",IF(F257="P4","Little movement",IF(F257="P5","Jumping out of the water",IF(F257="P6","Reaction to a tool or impact"))))))</f>
        <v>Regular swimming, even distribution</v>
      </c>
      <c r="I257" s="6" t="s">
        <v>184</v>
      </c>
    </row>
    <row r="258" spans="1:9" x14ac:dyDescent="0.35">
      <c r="A258" s="4">
        <v>46155</v>
      </c>
      <c r="B258" s="10">
        <v>0.5395833333333333</v>
      </c>
      <c r="C258" s="10">
        <v>0.5444444444444444</v>
      </c>
      <c r="D258" s="5">
        <f>C258-B258</f>
        <v>4.8611111111110938E-3</v>
      </c>
      <c r="E258" s="6" t="s">
        <v>28</v>
      </c>
      <c r="F258" s="7" t="s">
        <v>15</v>
      </c>
      <c r="G258" s="7" t="str">
        <f>IF(F258="P1","Normal activity",IF(F258="P2","Clustering / aggregation",IF(F258="P3","Agitation",IF(F258="P4","Lethargy",IF(F258="P5","Jumping / splashing",IF(F258="P6","Reactivity to noise"))))))</f>
        <v>Agitation</v>
      </c>
      <c r="H258" s="7" t="str">
        <f>IF(F258="P1","Regular swimming, even distribution",IF(F258="P2","Fish grouped in one corner",IF(F258="P3","Rapid swimming, escape behavior",IF(F258="P4","Little movement",IF(F258="P5","Jumping out of the water",IF(F258="P6","Reaction to a tool or impact"))))))</f>
        <v>Rapid swimming, escape behavior</v>
      </c>
      <c r="I258" s="6" t="s">
        <v>185</v>
      </c>
    </row>
    <row r="259" spans="1:9" x14ac:dyDescent="0.35">
      <c r="A259" s="4">
        <v>46155</v>
      </c>
      <c r="B259" s="10">
        <v>0.5395833333333333</v>
      </c>
      <c r="C259" s="10">
        <v>0.5444444444444444</v>
      </c>
      <c r="D259" s="5">
        <f>C259-B259</f>
        <v>4.8611111111110938E-3</v>
      </c>
      <c r="E259" s="6" t="s">
        <v>29</v>
      </c>
      <c r="F259" s="7" t="s">
        <v>9</v>
      </c>
      <c r="G259" s="7" t="str">
        <f>IF(F259="P1","Normal activity",IF(F259="P2","Clustering / aggregation",IF(F259="P3","Agitation",IF(F259="P4","Lethargy",IF(F259="P5","Jumping / splashing",IF(F259="P6","Reactivity to noise"))))))</f>
        <v>Normal activity</v>
      </c>
      <c r="H259" s="7" t="str">
        <f>IF(F259="P1","Regular swimming, even distribution",IF(F259="P2","Fish grouped in one corner",IF(F259="P3","Rapid swimming, escape behavior",IF(F259="P4","Little movement",IF(F259="P5","Jumping out of the water",IF(F259="P6","Reaction to a tool or impact"))))))</f>
        <v>Regular swimming, even distribution</v>
      </c>
      <c r="I259" s="6" t="s">
        <v>186</v>
      </c>
    </row>
    <row r="260" spans="1:9" x14ac:dyDescent="0.35">
      <c r="A260" s="4">
        <v>46155</v>
      </c>
      <c r="B260" s="10">
        <v>0.5395833333333333</v>
      </c>
      <c r="C260" s="10">
        <v>0.5444444444444444</v>
      </c>
      <c r="D260" s="5">
        <f>C260-B260</f>
        <v>4.8611111111110938E-3</v>
      </c>
      <c r="E260" s="6" t="s">
        <v>29</v>
      </c>
      <c r="F260" s="7" t="s">
        <v>12</v>
      </c>
      <c r="G260" s="7" t="str">
        <f>IF(F260="P1","Normal activity",IF(F260="P2","Clustering / aggregation",IF(F260="P3","Agitation",IF(F260="P4","Lethargy",IF(F260="P5","Jumping / splashing",IF(F260="P6","Reactivity to noise"))))))</f>
        <v>Clustering / aggregation</v>
      </c>
      <c r="H260" s="7" t="str">
        <f>IF(F260="P1","Regular swimming, even distribution",IF(F260="P2","Fish grouped in one corner",IF(F260="P3","Rapid swimming, escape behavior",IF(F260="P4","Little movement",IF(F260="P5","Jumping out of the water",IF(F260="P6","Reaction to a tool or impact"))))))</f>
        <v>Fish grouped in one corner</v>
      </c>
      <c r="I260" s="6" t="s">
        <v>179</v>
      </c>
    </row>
    <row r="261" spans="1:9" x14ac:dyDescent="0.35">
      <c r="A261" s="4">
        <v>46155</v>
      </c>
      <c r="B261" s="10">
        <v>0.5395833333333333</v>
      </c>
      <c r="C261" s="10">
        <v>0.5444444444444444</v>
      </c>
      <c r="D261" s="5">
        <f>C261-B261</f>
        <v>4.8611111111110938E-3</v>
      </c>
      <c r="E261" s="6" t="s">
        <v>31</v>
      </c>
      <c r="F261" s="7" t="s">
        <v>12</v>
      </c>
      <c r="G261" s="7" t="str">
        <f>IF(F261="P1","Normal activity",IF(F261="P2","Clustering / aggregation",IF(F261="P3","Agitation",IF(F261="P4","Lethargy",IF(F261="P5","Jumping / splashing",IF(F261="P6","Reactivity to noise"))))))</f>
        <v>Clustering / aggregation</v>
      </c>
      <c r="H261" s="7" t="str">
        <f>IF(F261="P1","Regular swimming, even distribution",IF(F261="P2","Fish grouped in one corner",IF(F261="P3","Rapid swimming, escape behavior",IF(F261="P4","Little movement",IF(F261="P5","Jumping out of the water",IF(F261="P6","Reaction to a tool or impact"))))))</f>
        <v>Fish grouped in one corner</v>
      </c>
      <c r="I261" s="6" t="s">
        <v>187</v>
      </c>
    </row>
    <row r="262" spans="1:9" x14ac:dyDescent="0.35">
      <c r="A262" s="4">
        <v>46155</v>
      </c>
      <c r="B262" s="10">
        <v>0.5395833333333333</v>
      </c>
      <c r="C262" s="10">
        <v>0.5444444444444444</v>
      </c>
      <c r="D262" s="5">
        <f>C262-B262</f>
        <v>4.8611111111110938E-3</v>
      </c>
      <c r="E262" s="6" t="s">
        <v>31</v>
      </c>
      <c r="F262" s="7" t="s">
        <v>9</v>
      </c>
      <c r="G262" s="7" t="str">
        <f>IF(F262="P1","Normal activity",IF(F262="P2","Clustering / aggregation",IF(F262="P3","Agitation",IF(F262="P4","Lethargy",IF(F262="P5","Jumping / splashing",IF(F262="P6","Reactivity to noise"))))))</f>
        <v>Normal activity</v>
      </c>
      <c r="H262" s="7" t="str">
        <f>IF(F262="P1","Regular swimming, even distribution",IF(F262="P2","Fish grouped in one corner",IF(F262="P3","Rapid swimming, escape behavior",IF(F262="P4","Little movement",IF(F262="P5","Jumping out of the water",IF(F262="P6","Reaction to a tool or impact"))))))</f>
        <v>Regular swimming, even distribution</v>
      </c>
      <c r="I262" s="6" t="s">
        <v>188</v>
      </c>
    </row>
    <row r="263" spans="1:9" x14ac:dyDescent="0.35">
      <c r="A263" s="4">
        <v>46155</v>
      </c>
      <c r="B263" s="10">
        <v>0.59444444444444444</v>
      </c>
      <c r="C263" s="10">
        <v>0.60138888888888886</v>
      </c>
      <c r="D263" s="5">
        <f>C263-B263</f>
        <v>6.9444444444444198E-3</v>
      </c>
      <c r="E263" s="6" t="s">
        <v>27</v>
      </c>
      <c r="F263" s="7" t="s">
        <v>9</v>
      </c>
      <c r="G263" s="7" t="str">
        <f>IF(F263="P1","Normal activity",IF(F263="P2","Clustering / aggregation",IF(F263="P3","Agitation",IF(F263="P4","Lethargy",IF(F263="P5","Jumping / splashing",IF(F263="P6","Reactivity to noise"))))))</f>
        <v>Normal activity</v>
      </c>
      <c r="H263" s="7" t="str">
        <f>IF(F263="P1","Regular swimming, even distribution",IF(F263="P2","Fish grouped in one corner",IF(F263="P3","Rapid swimming, escape behavior",IF(F263="P4","Little movement",IF(F263="P5","Jumping out of the water",IF(F263="P6","Reaction to a tool or impact"))))))</f>
        <v>Regular swimming, even distribution</v>
      </c>
      <c r="I263" s="6" t="s">
        <v>189</v>
      </c>
    </row>
    <row r="264" spans="1:9" x14ac:dyDescent="0.35">
      <c r="A264" s="4">
        <v>46155</v>
      </c>
      <c r="B264" s="10">
        <v>0.59444444444444444</v>
      </c>
      <c r="C264" s="10">
        <v>0.60138888888888886</v>
      </c>
      <c r="D264" s="5">
        <f>C264-B264</f>
        <v>6.9444444444444198E-3</v>
      </c>
      <c r="E264" s="6" t="s">
        <v>28</v>
      </c>
      <c r="F264" s="7" t="s">
        <v>12</v>
      </c>
      <c r="G264" s="7" t="str">
        <f>IF(F264="P1","Normal activity",IF(F264="P2","Clustering / aggregation",IF(F264="P3","Agitation",IF(F264="P4","Lethargy",IF(F264="P5","Jumping / splashing",IF(F264="P6","Reactivity to noise"))))))</f>
        <v>Clustering / aggregation</v>
      </c>
      <c r="H264" s="7" t="str">
        <f>IF(F264="P1","Regular swimming, even distribution",IF(F264="P2","Fish grouped in one corner",IF(F264="P3","Rapid swimming, escape behavior",IF(F264="P4","Little movement",IF(F264="P5","Jumping out of the water",IF(F264="P6","Reaction to a tool or impact"))))))</f>
        <v>Fish grouped in one corner</v>
      </c>
      <c r="I264" s="6" t="s">
        <v>190</v>
      </c>
    </row>
    <row r="265" spans="1:9" x14ac:dyDescent="0.35">
      <c r="A265" s="4">
        <v>46155</v>
      </c>
      <c r="B265" s="10">
        <v>0.59444444444444444</v>
      </c>
      <c r="C265" s="10">
        <v>0.60138888888888886</v>
      </c>
      <c r="D265" s="5">
        <f>C265-B265</f>
        <v>6.9444444444444198E-3</v>
      </c>
      <c r="E265" s="6" t="s">
        <v>29</v>
      </c>
      <c r="F265" s="7" t="s">
        <v>12</v>
      </c>
      <c r="G265" s="7" t="str">
        <f>IF(F265="P1","Normal activity",IF(F265="P2","Clustering / aggregation",IF(F265="P3","Agitation",IF(F265="P4","Lethargy",IF(F265="P5","Jumping / splashing",IF(F265="P6","Reactivity to noise"))))))</f>
        <v>Clustering / aggregation</v>
      </c>
      <c r="H265" s="7" t="str">
        <f>IF(F265="P1","Regular swimming, even distribution",IF(F265="P2","Fish grouped in one corner",IF(F265="P3","Rapid swimming, escape behavior",IF(F265="P4","Little movement",IF(F265="P5","Jumping out of the water",IF(F265="P6","Reaction to a tool or impact"))))))</f>
        <v>Fish grouped in one corner</v>
      </c>
      <c r="I265" s="6" t="s">
        <v>191</v>
      </c>
    </row>
    <row r="266" spans="1:9" x14ac:dyDescent="0.35">
      <c r="A266" s="4">
        <v>46155</v>
      </c>
      <c r="B266" s="10">
        <v>0.59444444444444444</v>
      </c>
      <c r="C266" s="10">
        <v>0.60138888888888886</v>
      </c>
      <c r="D266" s="5">
        <f>C266-B266</f>
        <v>6.9444444444444198E-3</v>
      </c>
      <c r="E266" s="6" t="s">
        <v>29</v>
      </c>
      <c r="F266" s="7" t="s">
        <v>9</v>
      </c>
      <c r="G266" s="7" t="str">
        <f>IF(F266="P1","Normal activity",IF(F266="P2","Clustering / aggregation",IF(F266="P3","Agitation",IF(F266="P4","Lethargy",IF(F266="P5","Jumping / splashing",IF(F266="P6","Reactivity to noise"))))))</f>
        <v>Normal activity</v>
      </c>
      <c r="H266" s="7" t="str">
        <f>IF(F266="P1","Regular swimming, even distribution",IF(F266="P2","Fish grouped in one corner",IF(F266="P3","Rapid swimming, escape behavior",IF(F266="P4","Little movement",IF(F266="P5","Jumping out of the water",IF(F266="P6","Reaction to a tool or impact"))))))</f>
        <v>Regular swimming, even distribution</v>
      </c>
      <c r="I266" s="6" t="s">
        <v>192</v>
      </c>
    </row>
    <row r="267" spans="1:9" x14ac:dyDescent="0.35">
      <c r="A267" s="4">
        <v>46155</v>
      </c>
      <c r="B267" s="10">
        <v>0.59444444444444444</v>
      </c>
      <c r="C267" s="10">
        <v>0.60138888888888886</v>
      </c>
      <c r="D267" s="5">
        <f>C267-B267</f>
        <v>6.9444444444444198E-3</v>
      </c>
      <c r="E267" s="6" t="s">
        <v>29</v>
      </c>
      <c r="F267" s="7" t="s">
        <v>15</v>
      </c>
      <c r="G267" s="7" t="str">
        <f>IF(F267="P1","Normal activity",IF(F267="P2","Clustering / aggregation",IF(F267="P3","Agitation",IF(F267="P4","Lethargy",IF(F267="P5","Jumping / splashing",IF(F267="P6","Reactivity to noise"))))))</f>
        <v>Agitation</v>
      </c>
      <c r="H267" s="7" t="str">
        <f>IF(F267="P1","Regular swimming, even distribution",IF(F267="P2","Fish grouped in one corner",IF(F267="P3","Rapid swimming, escape behavior",IF(F267="P4","Little movement",IF(F267="P5","Jumping out of the water",IF(F267="P6","Reaction to a tool or impact"))))))</f>
        <v>Rapid swimming, escape behavior</v>
      </c>
      <c r="I267" s="6" t="s">
        <v>193</v>
      </c>
    </row>
    <row r="268" spans="1:9" x14ac:dyDescent="0.35">
      <c r="A268" s="4">
        <v>46155</v>
      </c>
      <c r="B268" s="10">
        <v>0.59444444444444444</v>
      </c>
      <c r="C268" s="10">
        <v>0.60138888888888886</v>
      </c>
      <c r="D268" s="5">
        <f>C268-B268</f>
        <v>6.9444444444444198E-3</v>
      </c>
      <c r="E268" s="6" t="s">
        <v>31</v>
      </c>
      <c r="F268" s="7" t="s">
        <v>12</v>
      </c>
      <c r="G268" s="7" t="str">
        <f>IF(F268="P1","Normal activity",IF(F268="P2","Clustering / aggregation",IF(F268="P3","Agitation",IF(F268="P4","Lethargy",IF(F268="P5","Jumping / splashing",IF(F268="P6","Reactivity to noise"))))))</f>
        <v>Clustering / aggregation</v>
      </c>
      <c r="H268" s="7" t="str">
        <f>IF(F268="P1","Regular swimming, even distribution",IF(F268="P2","Fish grouped in one corner",IF(F268="P3","Rapid swimming, escape behavior",IF(F268="P4","Little movement",IF(F268="P5","Jumping out of the water",IF(F268="P6","Reaction to a tool or impact"))))))</f>
        <v>Fish grouped in one corner</v>
      </c>
      <c r="I268" s="6" t="s">
        <v>194</v>
      </c>
    </row>
    <row r="269" spans="1:9" x14ac:dyDescent="0.35">
      <c r="A269" s="4">
        <v>46155</v>
      </c>
      <c r="B269" s="10">
        <v>0.59444444444444444</v>
      </c>
      <c r="C269" s="10">
        <v>0.60138888888888886</v>
      </c>
      <c r="D269" s="5">
        <f>C269-B269</f>
        <v>6.9444444444444198E-3</v>
      </c>
      <c r="E269" s="6" t="s">
        <v>31</v>
      </c>
      <c r="F269" s="7" t="s">
        <v>9</v>
      </c>
      <c r="G269" s="7" t="str">
        <f>IF(F269="P1","Normal activity",IF(F269="P2","Clustering / aggregation",IF(F269="P3","Agitation",IF(F269="P4","Lethargy",IF(F269="P5","Jumping / splashing",IF(F269="P6","Reactivity to noise"))))))</f>
        <v>Normal activity</v>
      </c>
      <c r="H269" s="7" t="str">
        <f>IF(F269="P1","Regular swimming, even distribution",IF(F269="P2","Fish grouped in one corner",IF(F269="P3","Rapid swimming, escape behavior",IF(F269="P4","Little movement",IF(F269="P5","Jumping out of the water",IF(F269="P6","Reaction to a tool or impact"))))))</f>
        <v>Regular swimming, even distribution</v>
      </c>
      <c r="I269" s="6" t="s">
        <v>195</v>
      </c>
    </row>
    <row r="270" spans="1:9" x14ac:dyDescent="0.35">
      <c r="A270" s="4">
        <v>46155</v>
      </c>
      <c r="B270" s="10">
        <v>0.59444444444444444</v>
      </c>
      <c r="C270" s="10">
        <v>0.60138888888888886</v>
      </c>
      <c r="D270" s="5">
        <f>C270-B270</f>
        <v>6.9444444444444198E-3</v>
      </c>
      <c r="E270" s="6" t="s">
        <v>28</v>
      </c>
      <c r="F270" s="7" t="s">
        <v>9</v>
      </c>
      <c r="G270" s="7" t="str">
        <f>IF(F270="P1","Normal activity",IF(F270="P2","Clustering / aggregation",IF(F270="P3","Agitation",IF(F270="P4","Lethargy",IF(F270="P5","Jumping / splashing",IF(F270="P6","Reactivity to noise"))))))</f>
        <v>Normal activity</v>
      </c>
      <c r="H270" s="7" t="str">
        <f>IF(F270="P1","Regular swimming, even distribution",IF(F270="P2","Fish grouped in one corner",IF(F270="P3","Rapid swimming, escape behavior",IF(F270="P4","Little movement",IF(F270="P5","Jumping out of the water",IF(F270="P6","Reaction to a tool or impact"))))))</f>
        <v>Regular swimming, even distribution</v>
      </c>
      <c r="I270" s="6" t="s">
        <v>196</v>
      </c>
    </row>
    <row r="271" spans="1:9" x14ac:dyDescent="0.35">
      <c r="A271" s="4">
        <v>46155</v>
      </c>
      <c r="B271" s="10">
        <v>0.6020833333333333</v>
      </c>
      <c r="C271" s="10">
        <v>0.60555555555555551</v>
      </c>
      <c r="D271" s="5">
        <f>C271-B271</f>
        <v>3.4722222222222099E-3</v>
      </c>
      <c r="E271" s="6"/>
      <c r="F271" s="7"/>
      <c r="G271" s="7" t="b">
        <f>IF(F271="P1","Normal activity",IF(F271="P2","Clustering / aggregation",IF(F271="P3","Agitation",IF(F271="P4","Lethargy",IF(F271="P5","Jumping / splashing",IF(F271="P6","Reactivity to noise"))))))</f>
        <v>0</v>
      </c>
      <c r="H271" s="7" t="b">
        <f>IF(F271="P1","Regular swimming, even distribution",IF(F271="P2","Fish grouped in one corner",IF(F271="P3","Rapid swimming, escape behavior",IF(F271="P4","Little movement",IF(F271="P5","Jumping out of the water",IF(F271="P6","Reaction to a tool or impact"))))))</f>
        <v>0</v>
      </c>
      <c r="I271" s="6" t="s">
        <v>197</v>
      </c>
    </row>
    <row r="272" spans="1:9" x14ac:dyDescent="0.35">
      <c r="A272" s="4">
        <v>46155</v>
      </c>
      <c r="B272" s="10">
        <v>0.60624999999999996</v>
      </c>
      <c r="C272" s="10">
        <v>0.61319444444444449</v>
      </c>
      <c r="D272" s="5">
        <f>C272-B272</f>
        <v>6.9444444444445308E-3</v>
      </c>
      <c r="E272" s="6" t="s">
        <v>27</v>
      </c>
      <c r="F272" s="7" t="s">
        <v>15</v>
      </c>
      <c r="G272" s="7" t="str">
        <f>IF(F272="P1","Normal activity",IF(F272="P2","Clustering / aggregation",IF(F272="P3","Agitation",IF(F272="P4","Lethargy",IF(F272="P5","Jumping / splashing",IF(F272="P6","Reactivity to noise"))))))</f>
        <v>Agitation</v>
      </c>
      <c r="H272" s="7" t="str">
        <f>IF(F272="P1","Regular swimming, even distribution",IF(F272="P2","Fish grouped in one corner",IF(F272="P3","Rapid swimming, escape behavior",IF(F272="P4","Little movement",IF(F272="P5","Jumping out of the water",IF(F272="P6","Reaction to a tool or impact"))))))</f>
        <v>Rapid swimming, escape behavior</v>
      </c>
      <c r="I272" s="6" t="s">
        <v>198</v>
      </c>
    </row>
    <row r="273" spans="1:9" x14ac:dyDescent="0.35">
      <c r="A273" s="4">
        <v>46155</v>
      </c>
      <c r="B273" s="10">
        <v>0.60624999999999996</v>
      </c>
      <c r="C273" s="10">
        <v>0.61319444444444449</v>
      </c>
      <c r="D273" s="5">
        <f>C273-B273</f>
        <v>6.9444444444445308E-3</v>
      </c>
      <c r="E273" s="6" t="s">
        <v>27</v>
      </c>
      <c r="F273" s="7" t="s">
        <v>12</v>
      </c>
      <c r="G273" s="7" t="str">
        <f>IF(F273="P1","Normal activity",IF(F273="P2","Clustering / aggregation",IF(F273="P3","Agitation",IF(F273="P4","Lethargy",IF(F273="P5","Jumping / splashing",IF(F273="P6","Reactivity to noise"))))))</f>
        <v>Clustering / aggregation</v>
      </c>
      <c r="H273" s="7" t="str">
        <f>IF(F273="P1","Regular swimming, even distribution",IF(F273="P2","Fish grouped in one corner",IF(F273="P3","Rapid swimming, escape behavior",IF(F273="P4","Little movement",IF(F273="P5","Jumping out of the water",IF(F273="P6","Reaction to a tool or impact"))))))</f>
        <v>Fish grouped in one corner</v>
      </c>
      <c r="I273" s="6" t="s">
        <v>199</v>
      </c>
    </row>
    <row r="274" spans="1:9" x14ac:dyDescent="0.35">
      <c r="A274" s="4">
        <v>46155</v>
      </c>
      <c r="B274" s="10">
        <v>0.60624999999999996</v>
      </c>
      <c r="C274" s="10">
        <v>0.61319444444444449</v>
      </c>
      <c r="D274" s="5">
        <f>C274-B274</f>
        <v>6.9444444444445308E-3</v>
      </c>
      <c r="E274" s="6" t="s">
        <v>28</v>
      </c>
      <c r="F274" s="7" t="s">
        <v>9</v>
      </c>
      <c r="G274" s="7" t="str">
        <f>IF(F274="P1","Normal activity",IF(F274="P2","Clustering / aggregation",IF(F274="P3","Agitation",IF(F274="P4","Lethargy",IF(F274="P5","Jumping / splashing",IF(F274="P6","Reactivity to noise"))))))</f>
        <v>Normal activity</v>
      </c>
      <c r="H274" s="7" t="str">
        <f>IF(F274="P1","Regular swimming, even distribution",IF(F274="P2","Fish grouped in one corner",IF(F274="P3","Rapid swimming, escape behavior",IF(F274="P4","Little movement",IF(F274="P5","Jumping out of the water",IF(F274="P6","Reaction to a tool or impact"))))))</f>
        <v>Regular swimming, even distribution</v>
      </c>
      <c r="I274" s="6" t="s">
        <v>200</v>
      </c>
    </row>
    <row r="275" spans="1:9" x14ac:dyDescent="0.35">
      <c r="A275" s="4">
        <v>46155</v>
      </c>
      <c r="B275" s="10">
        <v>0.60624999999999996</v>
      </c>
      <c r="C275" s="10">
        <v>0.61319444444444449</v>
      </c>
      <c r="D275" s="5">
        <f>C275-B275</f>
        <v>6.9444444444445308E-3</v>
      </c>
      <c r="E275" s="6" t="s">
        <v>28</v>
      </c>
      <c r="F275" s="7" t="s">
        <v>15</v>
      </c>
      <c r="G275" s="7" t="str">
        <f>IF(F275="P1","Normal activity",IF(F275="P2","Clustering / aggregation",IF(F275="P3","Agitation",IF(F275="P4","Lethargy",IF(F275="P5","Jumping / splashing",IF(F275="P6","Reactivity to noise"))))))</f>
        <v>Agitation</v>
      </c>
      <c r="H275" s="7" t="str">
        <f>IF(F275="P1","Regular swimming, even distribution",IF(F275="P2","Fish grouped in one corner",IF(F275="P3","Rapid swimming, escape behavior",IF(F275="P4","Little movement",IF(F275="P5","Jumping out of the water",IF(F275="P6","Reaction to a tool or impact"))))))</f>
        <v>Rapid swimming, escape behavior</v>
      </c>
      <c r="I275" s="6" t="s">
        <v>201</v>
      </c>
    </row>
    <row r="276" spans="1:9" x14ac:dyDescent="0.35">
      <c r="A276" s="4">
        <v>46155</v>
      </c>
      <c r="B276" s="10">
        <v>0.60624999999999996</v>
      </c>
      <c r="C276" s="10">
        <v>0.61319444444444449</v>
      </c>
      <c r="D276" s="5">
        <f>C276-B276</f>
        <v>6.9444444444445308E-3</v>
      </c>
      <c r="E276" s="6" t="s">
        <v>28</v>
      </c>
      <c r="F276" s="7" t="s">
        <v>12</v>
      </c>
      <c r="G276" s="7" t="str">
        <f>IF(F276="P1","Normal activity",IF(F276="P2","Clustering / aggregation",IF(F276="P3","Agitation",IF(F276="P4","Lethargy",IF(F276="P5","Jumping / splashing",IF(F276="P6","Reactivity to noise"))))))</f>
        <v>Clustering / aggregation</v>
      </c>
      <c r="H276" s="7" t="str">
        <f>IF(F276="P1","Regular swimming, even distribution",IF(F276="P2","Fish grouped in one corner",IF(F276="P3","Rapid swimming, escape behavior",IF(F276="P4","Little movement",IF(F276="P5","Jumping out of the water",IF(F276="P6","Reaction to a tool or impact"))))))</f>
        <v>Fish grouped in one corner</v>
      </c>
      <c r="I276" s="6" t="s">
        <v>147</v>
      </c>
    </row>
    <row r="277" spans="1:9" x14ac:dyDescent="0.35">
      <c r="A277" s="4">
        <v>46155</v>
      </c>
      <c r="B277" s="10">
        <v>0.60624999999999996</v>
      </c>
      <c r="C277" s="10">
        <v>0.61319444444444449</v>
      </c>
      <c r="D277" s="5">
        <f>C277-B277</f>
        <v>6.9444444444445308E-3</v>
      </c>
      <c r="E277" s="6" t="s">
        <v>29</v>
      </c>
      <c r="F277" s="7" t="s">
        <v>12</v>
      </c>
      <c r="G277" s="7" t="str">
        <f>IF(F277="P1","Normal activity",IF(F277="P2","Clustering / aggregation",IF(F277="P3","Agitation",IF(F277="P4","Lethargy",IF(F277="P5","Jumping / splashing",IF(F277="P6","Reactivity to noise"))))))</f>
        <v>Clustering / aggregation</v>
      </c>
      <c r="H277" s="7" t="str">
        <f>IF(F277="P1","Regular swimming, even distribution",IF(F277="P2","Fish grouped in one corner",IF(F277="P3","Rapid swimming, escape behavior",IF(F277="P4","Little movement",IF(F277="P5","Jumping out of the water",IF(F277="P6","Reaction to a tool or impact"))))))</f>
        <v>Fish grouped in one corner</v>
      </c>
      <c r="I277" s="6" t="s">
        <v>202</v>
      </c>
    </row>
    <row r="278" spans="1:9" x14ac:dyDescent="0.35">
      <c r="A278" s="4">
        <v>46155</v>
      </c>
      <c r="B278" s="10">
        <v>0.60624999999999996</v>
      </c>
      <c r="C278" s="10">
        <v>0.61319444444444449</v>
      </c>
      <c r="D278" s="5">
        <f>C278-B278</f>
        <v>6.9444444444445308E-3</v>
      </c>
      <c r="E278" s="6" t="s">
        <v>29</v>
      </c>
      <c r="F278" s="7" t="s">
        <v>9</v>
      </c>
      <c r="G278" s="7" t="str">
        <f>IF(F278="P1","Normal activity",IF(F278="P2","Clustering / aggregation",IF(F278="P3","Agitation",IF(F278="P4","Lethargy",IF(F278="P5","Jumping / splashing",IF(F278="P6","Reactivity to noise"))))))</f>
        <v>Normal activity</v>
      </c>
      <c r="H278" s="7" t="str">
        <f>IF(F278="P1","Regular swimming, even distribution",IF(F278="P2","Fish grouped in one corner",IF(F278="P3","Rapid swimming, escape behavior",IF(F278="P4","Little movement",IF(F278="P5","Jumping out of the water",IF(F278="P6","Reaction to a tool or impact"))))))</f>
        <v>Regular swimming, even distribution</v>
      </c>
      <c r="I278" s="6" t="s">
        <v>203</v>
      </c>
    </row>
    <row r="279" spans="1:9" x14ac:dyDescent="0.35">
      <c r="A279" s="4">
        <v>46155</v>
      </c>
      <c r="B279" s="10">
        <v>0.60624999999999996</v>
      </c>
      <c r="C279" s="10">
        <v>0.61319444444444449</v>
      </c>
      <c r="D279" s="5">
        <f>C279-B279</f>
        <v>6.9444444444445308E-3</v>
      </c>
      <c r="E279" s="6" t="s">
        <v>31</v>
      </c>
      <c r="F279" s="7" t="s">
        <v>15</v>
      </c>
      <c r="G279" s="7" t="str">
        <f>IF(F279="P1","Normal activity",IF(F279="P2","Clustering / aggregation",IF(F279="P3","Agitation",IF(F279="P4","Lethargy",IF(F279="P5","Jumping / splashing",IF(F279="P6","Reactivity to noise"))))))</f>
        <v>Agitation</v>
      </c>
      <c r="H279" s="7" t="str">
        <f>IF(F279="P1","Regular swimming, even distribution",IF(F279="P2","Fish grouped in one corner",IF(F279="P3","Rapid swimming, escape behavior",IF(F279="P4","Little movement",IF(F279="P5","Jumping out of the water",IF(F279="P6","Reaction to a tool or impact"))))))</f>
        <v>Rapid swimming, escape behavior</v>
      </c>
      <c r="I279" s="6" t="s">
        <v>204</v>
      </c>
    </row>
    <row r="280" spans="1:9" x14ac:dyDescent="0.35">
      <c r="A280" s="4">
        <v>46155</v>
      </c>
      <c r="B280" s="10">
        <v>0.60624999999999996</v>
      </c>
      <c r="C280" s="10">
        <v>0.61319444444444449</v>
      </c>
      <c r="D280" s="5">
        <f>C280-B280</f>
        <v>6.9444444444445308E-3</v>
      </c>
      <c r="E280" s="6" t="s">
        <v>31</v>
      </c>
      <c r="F280" s="7" t="s">
        <v>12</v>
      </c>
      <c r="G280" s="7" t="str">
        <f>IF(F280="P1","Normal activity",IF(F280="P2","Clustering / aggregation",IF(F280="P3","Agitation",IF(F280="P4","Lethargy",IF(F280="P5","Jumping / splashing",IF(F280="P6","Reactivity to noise"))))))</f>
        <v>Clustering / aggregation</v>
      </c>
      <c r="H280" s="7" t="str">
        <f>IF(F280="P1","Regular swimming, even distribution",IF(F280="P2","Fish grouped in one corner",IF(F280="P3","Rapid swimming, escape behavior",IF(F280="P4","Little movement",IF(F280="P5","Jumping out of the water",IF(F280="P6","Reaction to a tool or impact"))))))</f>
        <v>Fish grouped in one corner</v>
      </c>
      <c r="I280" s="6" t="s">
        <v>205</v>
      </c>
    </row>
    <row r="281" spans="1:9" x14ac:dyDescent="0.35">
      <c r="A281" s="4">
        <v>46155</v>
      </c>
      <c r="B281" s="10">
        <v>0.60624999999999996</v>
      </c>
      <c r="C281" s="10">
        <v>0.61319444444444449</v>
      </c>
      <c r="D281" s="5">
        <f>C281-B281</f>
        <v>6.9444444444445308E-3</v>
      </c>
      <c r="E281" s="6" t="s">
        <v>31</v>
      </c>
      <c r="F281" s="7" t="s">
        <v>9</v>
      </c>
      <c r="G281" s="7" t="str">
        <f>IF(F281="P1","Normal activity",IF(F281="P2","Clustering / aggregation",IF(F281="P3","Agitation",IF(F281="P4","Lethargy",IF(F281="P5","Jumping / splashing",IF(F281="P6","Reactivity to noise"))))))</f>
        <v>Normal activity</v>
      </c>
      <c r="H281" s="7" t="str">
        <f>IF(F281="P1","Regular swimming, even distribution",IF(F281="P2","Fish grouped in one corner",IF(F281="P3","Rapid swimming, escape behavior",IF(F281="P4","Little movement",IF(F281="P5","Jumping out of the water",IF(F281="P6","Reaction to a tool or impact"))))))</f>
        <v>Regular swimming, even distribution</v>
      </c>
      <c r="I281" s="6" t="s">
        <v>206</v>
      </c>
    </row>
    <row r="282" spans="1:9" x14ac:dyDescent="0.35">
      <c r="A282" s="4">
        <v>46158</v>
      </c>
      <c r="B282" s="10">
        <v>0.36805555555555558</v>
      </c>
      <c r="C282" s="10">
        <v>0.375</v>
      </c>
      <c r="D282" s="5">
        <f>C282-B282</f>
        <v>6.9444444444444198E-3</v>
      </c>
      <c r="E282" s="6" t="s">
        <v>27</v>
      </c>
      <c r="F282" s="7" t="s">
        <v>9</v>
      </c>
      <c r="G282" s="7" t="str">
        <f>IF(F282="P1","Normal activity",IF(F282="P2","Clustering / aggregation",IF(F282="P3","Agitation",IF(F282="P4","Lethargy",IF(F282="P5","Jumping / splashing",IF(F282="P6","Reactivity to noise"))))))</f>
        <v>Normal activity</v>
      </c>
      <c r="H282" s="7" t="str">
        <f>IF(F282="P1","Regular swimming, even distribution",IF(F282="P2","Fish grouped in one corner",IF(F282="P3","Rapid swimming, escape behavior",IF(F282="P4","Little movement",IF(F282="P5","Jumping out of the water",IF(F282="P6","Reaction to a tool or impact"))))))</f>
        <v>Regular swimming, even distribution</v>
      </c>
      <c r="I282" s="6" t="s">
        <v>207</v>
      </c>
    </row>
    <row r="283" spans="1:9" x14ac:dyDescent="0.35">
      <c r="A283" s="4">
        <v>46158</v>
      </c>
      <c r="B283" s="10">
        <v>0.36805555555555558</v>
      </c>
      <c r="C283" s="10">
        <v>0.375</v>
      </c>
      <c r="D283" s="5">
        <f>C283-B283</f>
        <v>6.9444444444444198E-3</v>
      </c>
      <c r="E283" s="6" t="s">
        <v>28</v>
      </c>
      <c r="F283" s="7" t="s">
        <v>9</v>
      </c>
      <c r="G283" s="7" t="str">
        <f>IF(F283="P1","Normal activity",IF(F283="P2","Clustering / aggregation",IF(F283="P3","Agitation",IF(F283="P4","Lethargy",IF(F283="P5","Jumping / splashing",IF(F283="P6","Reactivity to noise"))))))</f>
        <v>Normal activity</v>
      </c>
      <c r="H283" s="7" t="str">
        <f>IF(F283="P1","Regular swimming, even distribution",IF(F283="P2","Fish grouped in one corner",IF(F283="P3","Rapid swimming, escape behavior",IF(F283="P4","Little movement",IF(F283="P5","Jumping out of the water",IF(F283="P6","Reaction to a tool or impact"))))))</f>
        <v>Regular swimming, even distribution</v>
      </c>
      <c r="I283" s="6" t="s">
        <v>63</v>
      </c>
    </row>
    <row r="284" spans="1:9" x14ac:dyDescent="0.35">
      <c r="A284" s="4">
        <v>46158</v>
      </c>
      <c r="B284" s="10">
        <v>0.36805555555555558</v>
      </c>
      <c r="C284" s="10">
        <v>0.375</v>
      </c>
      <c r="D284" s="5">
        <f>C284-B284</f>
        <v>6.9444444444444198E-3</v>
      </c>
      <c r="E284" s="6" t="s">
        <v>28</v>
      </c>
      <c r="F284" s="7" t="s">
        <v>12</v>
      </c>
      <c r="G284" s="7" t="str">
        <f>IF(F284="P1","Normal activity",IF(F284="P2","Clustering / aggregation",IF(F284="P3","Agitation",IF(F284="P4","Lethargy",IF(F284="P5","Jumping / splashing",IF(F284="P6","Reactivity to noise"))))))</f>
        <v>Clustering / aggregation</v>
      </c>
      <c r="H284" s="7" t="str">
        <f>IF(F284="P1","Regular swimming, even distribution",IF(F284="P2","Fish grouped in one corner",IF(F284="P3","Rapid swimming, escape behavior",IF(F284="P4","Little movement",IF(F284="P5","Jumping out of the water",IF(F284="P6","Reaction to a tool or impact"))))))</f>
        <v>Fish grouped in one corner</v>
      </c>
      <c r="I284" s="6" t="s">
        <v>208</v>
      </c>
    </row>
    <row r="285" spans="1:9" x14ac:dyDescent="0.35">
      <c r="A285" s="4">
        <v>46158</v>
      </c>
      <c r="B285" s="10">
        <v>0.36805555555555558</v>
      </c>
      <c r="C285" s="10">
        <v>0.375</v>
      </c>
      <c r="D285" s="5">
        <f>C285-B285</f>
        <v>6.9444444444444198E-3</v>
      </c>
      <c r="E285" s="6" t="s">
        <v>29</v>
      </c>
      <c r="F285" s="7" t="s">
        <v>9</v>
      </c>
      <c r="G285" s="7" t="str">
        <f>IF(F285="P1","Normal activity",IF(F285="P2","Clustering / aggregation",IF(F285="P3","Agitation",IF(F285="P4","Lethargy",IF(F285="P5","Jumping / splashing",IF(F285="P6","Reactivity to noise"))))))</f>
        <v>Normal activity</v>
      </c>
      <c r="H285" s="7" t="str">
        <f>IF(F285="P1","Regular swimming, even distribution",IF(F285="P2","Fish grouped in one corner",IF(F285="P3","Rapid swimming, escape behavior",IF(F285="P4","Little movement",IF(F285="P5","Jumping out of the water",IF(F285="P6","Reaction to a tool or impact"))))))</f>
        <v>Regular swimming, even distribution</v>
      </c>
      <c r="I285" s="6"/>
    </row>
    <row r="286" spans="1:9" x14ac:dyDescent="0.35">
      <c r="A286" s="4">
        <v>46158</v>
      </c>
      <c r="B286" s="10">
        <v>0.36805555555555558</v>
      </c>
      <c r="C286" s="10">
        <v>0.375</v>
      </c>
      <c r="D286" s="5">
        <f>C286-B286</f>
        <v>6.9444444444444198E-3</v>
      </c>
      <c r="E286" s="6" t="s">
        <v>31</v>
      </c>
      <c r="F286" s="7" t="s">
        <v>24</v>
      </c>
      <c r="G286" s="7" t="str">
        <f>IF(F286="P1","Normal activity",IF(F286="P2","Clustering / aggregation",IF(F286="P3","Agitation",IF(F286="P4","Lethargy",IF(F286="P5","Jumping / splashing",IF(F286="P6","Reactivity to noise"))))))</f>
        <v>Reactivity to noise</v>
      </c>
      <c r="H286" s="7" t="str">
        <f>IF(F286="P1","Regular swimming, even distribution",IF(F286="P2","Fish grouped in one corner",IF(F286="P3","Rapid swimming, escape behavior",IF(F286="P4","Little movement",IF(F286="P5","Jumping out of the water",IF(F286="P6","Reaction to a tool or impact"))))))</f>
        <v>Reaction to a tool or impact</v>
      </c>
      <c r="I286" s="6" t="s">
        <v>209</v>
      </c>
    </row>
    <row r="287" spans="1:9" x14ac:dyDescent="0.35">
      <c r="A287" s="4">
        <v>46158</v>
      </c>
      <c r="B287" s="10">
        <v>0.375</v>
      </c>
      <c r="C287" s="10">
        <v>0.37847222222222221</v>
      </c>
      <c r="D287" s="5">
        <f>C287-B287</f>
        <v>3.4722222222222099E-3</v>
      </c>
      <c r="E287" s="6"/>
      <c r="F287" s="7"/>
      <c r="G287" s="7" t="b">
        <f>IF(F287="P1","Normal activity",IF(F287="P2","Clustering / aggregation",IF(F287="P3","Agitation",IF(F287="P4","Lethargy",IF(F287="P5","Jumping / splashing",IF(F287="P6","Reactivity to noise"))))))</f>
        <v>0</v>
      </c>
      <c r="H287" s="7" t="b">
        <f>IF(F287="P1","Regular swimming, even distribution",IF(F287="P2","Fish grouped in one corner",IF(F287="P3","Rapid swimming, escape behavior",IF(F287="P4","Little movement",IF(F287="P5","Jumping out of the water",IF(F287="P6","Reaction to a tool or impact"))))))</f>
        <v>0</v>
      </c>
      <c r="I287" s="6" t="s">
        <v>210</v>
      </c>
    </row>
    <row r="288" spans="1:9" x14ac:dyDescent="0.35">
      <c r="A288" s="4">
        <v>46158</v>
      </c>
      <c r="B288" s="10">
        <v>0.37847222222222221</v>
      </c>
      <c r="C288" s="10">
        <v>0.38541666666666669</v>
      </c>
      <c r="D288" s="5">
        <f>C288-B288</f>
        <v>6.9444444444444753E-3</v>
      </c>
      <c r="E288" s="6" t="s">
        <v>27</v>
      </c>
      <c r="F288" s="7" t="s">
        <v>15</v>
      </c>
      <c r="G288" s="7" t="str">
        <f>IF(F288="P1","Normal activity",IF(F288="P2","Clustering / aggregation",IF(F288="P3","Agitation",IF(F288="P4","Lethargy",IF(F288="P5","Jumping / splashing",IF(F288="P6","Reactivity to noise"))))))</f>
        <v>Agitation</v>
      </c>
      <c r="H288" s="7" t="str">
        <f>IF(F288="P1","Regular swimming, even distribution",IF(F288="P2","Fish grouped in one corner",IF(F288="P3","Rapid swimming, escape behavior",IF(F288="P4","Little movement",IF(F288="P5","Jumping out of the water",IF(F288="P6","Reaction to a tool or impact"))))))</f>
        <v>Rapid swimming, escape behavior</v>
      </c>
      <c r="I288" s="6" t="s">
        <v>211</v>
      </c>
    </row>
    <row r="289" spans="1:9" x14ac:dyDescent="0.35">
      <c r="A289" s="4">
        <v>46158</v>
      </c>
      <c r="B289" s="10">
        <v>0.37847222222222221</v>
      </c>
      <c r="C289" s="10">
        <v>0.38541666666666669</v>
      </c>
      <c r="D289" s="5">
        <f>C289-B289</f>
        <v>6.9444444444444753E-3</v>
      </c>
      <c r="E289" s="6" t="s">
        <v>27</v>
      </c>
      <c r="F289" s="7" t="s">
        <v>9</v>
      </c>
      <c r="G289" s="7" t="str">
        <f>IF(F289="P1","Normal activity",IF(F289="P2","Clustering / aggregation",IF(F289="P3","Agitation",IF(F289="P4","Lethargy",IF(F289="P5","Jumping / splashing",IF(F289="P6","Reactivity to noise"))))))</f>
        <v>Normal activity</v>
      </c>
      <c r="H289" s="7" t="str">
        <f>IF(F289="P1","Regular swimming, even distribution",IF(F289="P2","Fish grouped in one corner",IF(F289="P3","Rapid swimming, escape behavior",IF(F289="P4","Little movement",IF(F289="P5","Jumping out of the water",IF(F289="P6","Reaction to a tool or impact"))))))</f>
        <v>Regular swimming, even distribution</v>
      </c>
      <c r="I289" s="6"/>
    </row>
    <row r="290" spans="1:9" x14ac:dyDescent="0.35">
      <c r="A290" s="4">
        <v>46158</v>
      </c>
      <c r="B290" s="10">
        <v>0.37847222222222221</v>
      </c>
      <c r="C290" s="10">
        <v>0.38541666666666669</v>
      </c>
      <c r="D290" s="5">
        <f>C290-B290</f>
        <v>6.9444444444444753E-3</v>
      </c>
      <c r="E290" s="6" t="s">
        <v>28</v>
      </c>
      <c r="F290" s="7" t="s">
        <v>9</v>
      </c>
      <c r="G290" s="7" t="str">
        <f>IF(F290="P1","Normal activity",IF(F290="P2","Clustering / aggregation",IF(F290="P3","Agitation",IF(F290="P4","Lethargy",IF(F290="P5","Jumping / splashing",IF(F290="P6","Reactivity to noise"))))))</f>
        <v>Normal activity</v>
      </c>
      <c r="H290" s="7" t="str">
        <f>IF(F290="P1","Regular swimming, even distribution",IF(F290="P2","Fish grouped in one corner",IF(F290="P3","Rapid swimming, escape behavior",IF(F290="P4","Little movement",IF(F290="P5","Jumping out of the water",IF(F290="P6","Reaction to a tool or impact"))))))</f>
        <v>Regular swimming, even distribution</v>
      </c>
      <c r="I290" s="6" t="s">
        <v>212</v>
      </c>
    </row>
    <row r="291" spans="1:9" x14ac:dyDescent="0.35">
      <c r="A291" s="4">
        <v>46158</v>
      </c>
      <c r="B291" s="10">
        <v>0.37847222222222221</v>
      </c>
      <c r="C291" s="10">
        <v>0.38541666666666669</v>
      </c>
      <c r="D291" s="5">
        <f>C291-B291</f>
        <v>6.9444444444444753E-3</v>
      </c>
      <c r="E291" s="6" t="s">
        <v>29</v>
      </c>
      <c r="F291" s="7" t="s">
        <v>9</v>
      </c>
      <c r="G291" s="7" t="str">
        <f>IF(F291="P1","Normal activity",IF(F291="P2","Clustering / aggregation",IF(F291="P3","Agitation",IF(F291="P4","Lethargy",IF(F291="P5","Jumping / splashing",IF(F291="P6","Reactivity to noise"))))))</f>
        <v>Normal activity</v>
      </c>
      <c r="H291" s="7" t="str">
        <f>IF(F291="P1","Regular swimming, even distribution",IF(F291="P2","Fish grouped in one corner",IF(F291="P3","Rapid swimming, escape behavior",IF(F291="P4","Little movement",IF(F291="P5","Jumping out of the water",IF(F291="P6","Reaction to a tool or impact"))))))</f>
        <v>Regular swimming, even distribution</v>
      </c>
      <c r="I291" s="6" t="s">
        <v>213</v>
      </c>
    </row>
    <row r="292" spans="1:9" x14ac:dyDescent="0.35">
      <c r="A292" s="4">
        <v>46158</v>
      </c>
      <c r="B292" s="10">
        <v>0.37847222222222221</v>
      </c>
      <c r="C292" s="10">
        <v>0.38541666666666669</v>
      </c>
      <c r="D292" s="5">
        <f>C292-B292</f>
        <v>6.9444444444444753E-3</v>
      </c>
      <c r="E292" s="6" t="s">
        <v>31</v>
      </c>
      <c r="F292" s="7" t="s">
        <v>21</v>
      </c>
      <c r="G292" s="7" t="str">
        <f>IF(F292="P1","Normal activity",IF(F292="P2","Clustering / aggregation",IF(F292="P3","Agitation",IF(F292="P4","Lethargy",IF(F292="P5","Jumping / splashing",IF(F292="P6","Reactivity to noise"))))))</f>
        <v>Jumping / splashing</v>
      </c>
      <c r="H292" s="7" t="str">
        <f>IF(F292="P1","Regular swimming, even distribution",IF(F292="P2","Fish grouped in one corner",IF(F292="P3","Rapid swimming, escape behavior",IF(F292="P4","Little movement",IF(F292="P5","Jumping out of the water",IF(F292="P6","Reaction to a tool or impact"))))))</f>
        <v>Jumping out of the water</v>
      </c>
      <c r="I292" s="6" t="s">
        <v>214</v>
      </c>
    </row>
    <row r="293" spans="1:9" x14ac:dyDescent="0.35">
      <c r="A293" s="4">
        <v>46158</v>
      </c>
      <c r="B293" s="10">
        <v>0.43680555555555556</v>
      </c>
      <c r="C293" s="10">
        <v>0.44374999999999998</v>
      </c>
      <c r="D293" s="5">
        <f>C293-B293</f>
        <v>6.9444444444444198E-3</v>
      </c>
      <c r="E293" s="6" t="s">
        <v>27</v>
      </c>
      <c r="F293" s="7" t="s">
        <v>9</v>
      </c>
      <c r="G293" s="7" t="str">
        <f>IF(F293="P1","Normal activity",IF(F293="P2","Clustering / aggregation",IF(F293="P3","Agitation",IF(F293="P4","Lethargy",IF(F293="P5","Jumping / splashing",IF(F293="P6","Reactivity to noise"))))))</f>
        <v>Normal activity</v>
      </c>
      <c r="H293" s="7" t="str">
        <f>IF(F293="P1","Regular swimming, even distribution",IF(F293="P2","Fish grouped in one corner",IF(F293="P3","Rapid swimming, escape behavior",IF(F293="P4","Little movement",IF(F293="P5","Jumping out of the water",IF(F293="P6","Reaction to a tool or impact"))))))</f>
        <v>Regular swimming, even distribution</v>
      </c>
      <c r="I293" s="6" t="s">
        <v>82</v>
      </c>
    </row>
    <row r="294" spans="1:9" x14ac:dyDescent="0.35">
      <c r="A294" s="4">
        <v>46158</v>
      </c>
      <c r="B294" s="10">
        <v>0.43680555555555556</v>
      </c>
      <c r="C294" s="10">
        <v>0.44374999999999998</v>
      </c>
      <c r="D294" s="5">
        <f>C294-B294</f>
        <v>6.9444444444444198E-3</v>
      </c>
      <c r="E294" s="6" t="s">
        <v>28</v>
      </c>
      <c r="F294" s="7" t="s">
        <v>9</v>
      </c>
      <c r="G294" s="7" t="str">
        <f>IF(F294="P1","Normal activity",IF(F294="P2","Clustering / aggregation",IF(F294="P3","Agitation",IF(F294="P4","Lethargy",IF(F294="P5","Jumping / splashing",IF(F294="P6","Reactivity to noise"))))))</f>
        <v>Normal activity</v>
      </c>
      <c r="H294" s="7" t="str">
        <f>IF(F294="P1","Regular swimming, even distribution",IF(F294="P2","Fish grouped in one corner",IF(F294="P3","Rapid swimming, escape behavior",IF(F294="P4","Little movement",IF(F294="P5","Jumping out of the water",IF(F294="P6","Reaction to a tool or impact"))))))</f>
        <v>Regular swimming, even distribution</v>
      </c>
      <c r="I294" s="6" t="s">
        <v>215</v>
      </c>
    </row>
    <row r="295" spans="1:9" x14ac:dyDescent="0.35">
      <c r="A295" s="4">
        <v>46158</v>
      </c>
      <c r="B295" s="10">
        <v>0.43680555555555556</v>
      </c>
      <c r="C295" s="10">
        <v>0.44374999999999998</v>
      </c>
      <c r="D295" s="5">
        <f>C295-B295</f>
        <v>6.9444444444444198E-3</v>
      </c>
      <c r="E295" s="6" t="s">
        <v>29</v>
      </c>
      <c r="F295" s="7" t="s">
        <v>15</v>
      </c>
      <c r="G295" s="7" t="str">
        <f>IF(F295="P1","Normal activity",IF(F295="P2","Clustering / aggregation",IF(F295="P3","Agitation",IF(F295="P4","Lethargy",IF(F295="P5","Jumping / splashing",IF(F295="P6","Reactivity to noise"))))))</f>
        <v>Agitation</v>
      </c>
      <c r="H295" s="7" t="str">
        <f>IF(F295="P1","Regular swimming, even distribution",IF(F295="P2","Fish grouped in one corner",IF(F295="P3","Rapid swimming, escape behavior",IF(F295="P4","Little movement",IF(F295="P5","Jumping out of the water",IF(F295="P6","Reaction to a tool or impact"))))))</f>
        <v>Rapid swimming, escape behavior</v>
      </c>
      <c r="I295" s="6" t="s">
        <v>216</v>
      </c>
    </row>
    <row r="296" spans="1:9" x14ac:dyDescent="0.35">
      <c r="A296" s="4">
        <v>46158</v>
      </c>
      <c r="B296" s="10">
        <v>0.43680555555555556</v>
      </c>
      <c r="C296" s="10">
        <v>0.44374999999999998</v>
      </c>
      <c r="D296" s="5">
        <f>C296-B296</f>
        <v>6.9444444444444198E-3</v>
      </c>
      <c r="E296" s="6" t="s">
        <v>31</v>
      </c>
      <c r="F296" s="7" t="s">
        <v>9</v>
      </c>
      <c r="G296" s="7" t="str">
        <f>IF(F296="P1","Normal activity",IF(F296="P2","Clustering / aggregation",IF(F296="P3","Agitation",IF(F296="P4","Lethargy",IF(F296="P5","Jumping / splashing",IF(F296="P6","Reactivity to noise"))))))</f>
        <v>Normal activity</v>
      </c>
      <c r="H296" s="7" t="str">
        <f>IF(F296="P1","Regular swimming, even distribution",IF(F296="P2","Fish grouped in one corner",IF(F296="P3","Rapid swimming, escape behavior",IF(F296="P4","Little movement",IF(F296="P5","Jumping out of the water",IF(F296="P6","Reaction to a tool or impact"))))))</f>
        <v>Regular swimming, even distribution</v>
      </c>
      <c r="I296" s="6" t="s">
        <v>217</v>
      </c>
    </row>
    <row r="297" spans="1:9" x14ac:dyDescent="0.35">
      <c r="A297" s="4">
        <v>46158</v>
      </c>
      <c r="B297" s="10">
        <v>0.4375</v>
      </c>
      <c r="C297" s="10">
        <v>0.44097222222222221</v>
      </c>
      <c r="D297" s="5">
        <f>C297-B297</f>
        <v>3.4722222222222099E-3</v>
      </c>
      <c r="E297" s="6"/>
      <c r="F297" s="7"/>
      <c r="G297" s="7" t="b">
        <f>IF(F297="P1","Normal activity",IF(F297="P2","Clustering / aggregation",IF(F297="P3","Agitation",IF(F297="P4","Lethargy",IF(F297="P5","Jumping / splashing",IF(F297="P6","Reactivity to noise"))))))</f>
        <v>0</v>
      </c>
      <c r="H297" s="7" t="b">
        <f>IF(F297="P1","Regular swimming, even distribution",IF(F297="P2","Fish grouped in one corner",IF(F297="P3","Rapid swimming, escape behavior",IF(F297="P4","Little movement",IF(F297="P5","Jumping out of the water",IF(F297="P6","Reaction to a tool or impact"))))))</f>
        <v>0</v>
      </c>
      <c r="I297" s="6" t="s">
        <v>197</v>
      </c>
    </row>
    <row r="298" spans="1:9" x14ac:dyDescent="0.35">
      <c r="A298" s="4">
        <v>46158</v>
      </c>
      <c r="B298" s="10">
        <v>0.44097222222222221</v>
      </c>
      <c r="C298" s="10">
        <v>0.44791666666666669</v>
      </c>
      <c r="D298" s="5">
        <f>C298-B298</f>
        <v>6.9444444444444753E-3</v>
      </c>
      <c r="E298" s="6" t="s">
        <v>27</v>
      </c>
      <c r="F298" s="7" t="s">
        <v>15</v>
      </c>
      <c r="G298" s="7" t="str">
        <f>IF(F298="P1","Normal activity",IF(F298="P2","Clustering / aggregation",IF(F298="P3","Agitation",IF(F298="P4","Lethargy",IF(F298="P5","Jumping / splashing",IF(F298="P6","Reactivity to noise"))))))</f>
        <v>Agitation</v>
      </c>
      <c r="H298" s="7" t="str">
        <f>IF(F298="P1","Regular swimming, even distribution",IF(F298="P2","Fish grouped in one corner",IF(F298="P3","Rapid swimming, escape behavior",IF(F298="P4","Little movement",IF(F298="P5","Jumping out of the water",IF(F298="P6","Reaction to a tool or impact"))))))</f>
        <v>Rapid swimming, escape behavior</v>
      </c>
      <c r="I298" s="6" t="s">
        <v>218</v>
      </c>
    </row>
    <row r="299" spans="1:9" x14ac:dyDescent="0.35">
      <c r="A299" s="4">
        <v>46158</v>
      </c>
      <c r="B299" s="10">
        <v>0.44097222222222221</v>
      </c>
      <c r="C299" s="10">
        <v>0.44791666666666669</v>
      </c>
      <c r="D299" s="5">
        <f>C299-B299</f>
        <v>6.9444444444444753E-3</v>
      </c>
      <c r="E299" s="6" t="s">
        <v>27</v>
      </c>
      <c r="F299" s="7" t="s">
        <v>21</v>
      </c>
      <c r="G299" s="7" t="str">
        <f>IF(F299="P1","Normal activity",IF(F299="P2","Clustering / aggregation",IF(F299="P3","Agitation",IF(F299="P4","Lethargy",IF(F299="P5","Jumping / splashing",IF(F299="P6","Reactivity to noise"))))))</f>
        <v>Jumping / splashing</v>
      </c>
      <c r="H299" s="7" t="str">
        <f>IF(F299="P1","Regular swimming, even distribution",IF(F299="P2","Fish grouped in one corner",IF(F299="P3","Rapid swimming, escape behavior",IF(F299="P4","Little movement",IF(F299="P5","Jumping out of the water",IF(F299="P6","Reaction to a tool or impact"))))))</f>
        <v>Jumping out of the water</v>
      </c>
      <c r="I299" s="6" t="s">
        <v>219</v>
      </c>
    </row>
    <row r="300" spans="1:9" x14ac:dyDescent="0.35">
      <c r="A300" s="4">
        <v>46158</v>
      </c>
      <c r="B300" s="10">
        <v>0.44097222222222221</v>
      </c>
      <c r="C300" s="10">
        <v>0.44791666666666669</v>
      </c>
      <c r="D300" s="5">
        <f>C300-B300</f>
        <v>6.9444444444444753E-3</v>
      </c>
      <c r="E300" s="6" t="s">
        <v>28</v>
      </c>
      <c r="F300" s="7" t="s">
        <v>15</v>
      </c>
      <c r="G300" s="7" t="str">
        <f>IF(F300="P1","Normal activity",IF(F300="P2","Clustering / aggregation",IF(F300="P3","Agitation",IF(F300="P4","Lethargy",IF(F300="P5","Jumping / splashing",IF(F300="P6","Reactivity to noise"))))))</f>
        <v>Agitation</v>
      </c>
      <c r="H300" s="7" t="str">
        <f>IF(F300="P1","Regular swimming, even distribution",IF(F300="P2","Fish grouped in one corner",IF(F300="P3","Rapid swimming, escape behavior",IF(F300="P4","Little movement",IF(F300="P5","Jumping out of the water",IF(F300="P6","Reaction to a tool or impact"))))))</f>
        <v>Rapid swimming, escape behavior</v>
      </c>
      <c r="I300" s="6" t="s">
        <v>220</v>
      </c>
    </row>
    <row r="301" spans="1:9" x14ac:dyDescent="0.35">
      <c r="A301" s="4">
        <v>46158</v>
      </c>
      <c r="B301" s="10">
        <v>0.44097222222222221</v>
      </c>
      <c r="C301" s="10">
        <v>0.44791666666666669</v>
      </c>
      <c r="D301" s="5">
        <f>C301-B301</f>
        <v>6.9444444444444753E-3</v>
      </c>
      <c r="E301" s="6" t="s">
        <v>29</v>
      </c>
      <c r="F301" s="7" t="s">
        <v>15</v>
      </c>
      <c r="G301" s="7" t="str">
        <f>IF(F301="P1","Normal activity",IF(F301="P2","Clustering / aggregation",IF(F301="P3","Agitation",IF(F301="P4","Lethargy",IF(F301="P5","Jumping / splashing",IF(F301="P6","Reactivity to noise"))))))</f>
        <v>Agitation</v>
      </c>
      <c r="H301" s="7" t="str">
        <f>IF(F301="P1","Regular swimming, even distribution",IF(F301="P2","Fish grouped in one corner",IF(F301="P3","Rapid swimming, escape behavior",IF(F301="P4","Little movement",IF(F301="P5","Jumping out of the water",IF(F301="P6","Reaction to a tool or impact"))))))</f>
        <v>Rapid swimming, escape behavior</v>
      </c>
      <c r="I301" s="6" t="s">
        <v>220</v>
      </c>
    </row>
    <row r="302" spans="1:9" x14ac:dyDescent="0.35">
      <c r="A302" s="4">
        <v>46158</v>
      </c>
      <c r="B302" s="10">
        <v>0.44097222222222221</v>
      </c>
      <c r="C302" s="10">
        <v>0.44791666666666669</v>
      </c>
      <c r="D302" s="5">
        <f>C302-B302</f>
        <v>6.9444444444444753E-3</v>
      </c>
      <c r="E302" s="6" t="s">
        <v>31</v>
      </c>
      <c r="F302" s="7" t="s">
        <v>15</v>
      </c>
      <c r="G302" s="7" t="str">
        <f>IF(F302="P1","Normal activity",IF(F302="P2","Clustering / aggregation",IF(F302="P3","Agitation",IF(F302="P4","Lethargy",IF(F302="P5","Jumping / splashing",IF(F302="P6","Reactivity to noise"))))))</f>
        <v>Agitation</v>
      </c>
      <c r="H302" s="7" t="str">
        <f>IF(F302="P1","Regular swimming, even distribution",IF(F302="P2","Fish grouped in one corner",IF(F302="P3","Rapid swimming, escape behavior",IF(F302="P4","Little movement",IF(F302="P5","Jumping out of the water",IF(F302="P6","Reaction to a tool or impact"))))))</f>
        <v>Rapid swimming, escape behavior</v>
      </c>
      <c r="I302" s="6" t="s">
        <v>221</v>
      </c>
    </row>
    <row r="303" spans="1:9" x14ac:dyDescent="0.35">
      <c r="A303" s="4">
        <v>46158</v>
      </c>
      <c r="B303" s="10">
        <v>0.49930555555555556</v>
      </c>
      <c r="C303" s="10">
        <v>0.50624999999999998</v>
      </c>
      <c r="D303" s="5">
        <f>C303-B303</f>
        <v>6.9444444444444198E-3</v>
      </c>
      <c r="E303" s="6" t="s">
        <v>27</v>
      </c>
      <c r="F303" s="7" t="s">
        <v>9</v>
      </c>
      <c r="G303" s="7" t="str">
        <f>IF(F303="P1","Normal activity",IF(F303="P2","Clustering / aggregation",IF(F303="P3","Agitation",IF(F303="P4","Lethargy",IF(F303="P5","Jumping / splashing",IF(F303="P6","Reactivity to noise"))))))</f>
        <v>Normal activity</v>
      </c>
      <c r="H303" s="7" t="str">
        <f>IF(F303="P1","Regular swimming, even distribution",IF(F303="P2","Fish grouped in one corner",IF(F303="P3","Rapid swimming, escape behavior",IF(F303="P4","Little movement",IF(F303="P5","Jumping out of the water",IF(F303="P6","Reaction to a tool or impact"))))))</f>
        <v>Regular swimming, even distribution</v>
      </c>
      <c r="I303" s="6" t="s">
        <v>81</v>
      </c>
    </row>
    <row r="304" spans="1:9" x14ac:dyDescent="0.35">
      <c r="A304" s="4">
        <v>46158</v>
      </c>
      <c r="B304" s="10">
        <v>0.49930555555555556</v>
      </c>
      <c r="C304" s="10">
        <v>0.50624999999999998</v>
      </c>
      <c r="D304" s="5">
        <f>C304-B304</f>
        <v>6.9444444444444198E-3</v>
      </c>
      <c r="E304" s="6" t="s">
        <v>28</v>
      </c>
      <c r="F304" s="7" t="s">
        <v>9</v>
      </c>
      <c r="G304" s="7" t="str">
        <f>IF(F304="P1","Normal activity",IF(F304="P2","Clustering / aggregation",IF(F304="P3","Agitation",IF(F304="P4","Lethargy",IF(F304="P5","Jumping / splashing",IF(F304="P6","Reactivity to noise"))))))</f>
        <v>Normal activity</v>
      </c>
      <c r="H304" s="7" t="str">
        <f>IF(F304="P1","Regular swimming, even distribution",IF(F304="P2","Fish grouped in one corner",IF(F304="P3","Rapid swimming, escape behavior",IF(F304="P4","Little movement",IF(F304="P5","Jumping out of the water",IF(F304="P6","Reaction to a tool or impact"))))))</f>
        <v>Regular swimming, even distribution</v>
      </c>
      <c r="I304" s="6" t="s">
        <v>222</v>
      </c>
    </row>
    <row r="305" spans="1:9" x14ac:dyDescent="0.35">
      <c r="A305" s="4">
        <v>46158</v>
      </c>
      <c r="B305" s="10">
        <v>0.49930555555555556</v>
      </c>
      <c r="C305" s="10">
        <v>0.50624999999999998</v>
      </c>
      <c r="D305" s="5">
        <f>C305-B305</f>
        <v>6.9444444444444198E-3</v>
      </c>
      <c r="E305" s="6" t="s">
        <v>29</v>
      </c>
      <c r="F305" s="7" t="s">
        <v>9</v>
      </c>
      <c r="G305" s="7" t="str">
        <f>IF(F305="P1","Normal activity",IF(F305="P2","Clustering / aggregation",IF(F305="P3","Agitation",IF(F305="P4","Lethargy",IF(F305="P5","Jumping / splashing",IF(F305="P6","Reactivity to noise"))))))</f>
        <v>Normal activity</v>
      </c>
      <c r="H305" s="7" t="str">
        <f>IF(F305="P1","Regular swimming, even distribution",IF(F305="P2","Fish grouped in one corner",IF(F305="P3","Rapid swimming, escape behavior",IF(F305="P4","Little movement",IF(F305="P5","Jumping out of the water",IF(F305="P6","Reaction to a tool or impact"))))))</f>
        <v>Regular swimming, even distribution</v>
      </c>
      <c r="I305" s="6" t="s">
        <v>82</v>
      </c>
    </row>
    <row r="306" spans="1:9" x14ac:dyDescent="0.35">
      <c r="A306" s="4">
        <v>46158</v>
      </c>
      <c r="B306" s="10">
        <v>0.49930555555555556</v>
      </c>
      <c r="C306" s="10">
        <v>0.50624999999999998</v>
      </c>
      <c r="D306" s="5">
        <f>C306-B306</f>
        <v>6.9444444444444198E-3</v>
      </c>
      <c r="E306" s="6" t="s">
        <v>31</v>
      </c>
      <c r="F306" s="7" t="s">
        <v>9</v>
      </c>
      <c r="G306" s="7" t="str">
        <f>IF(F306="P1","Normal activity",IF(F306="P2","Clustering / aggregation",IF(F306="P3","Agitation",IF(F306="P4","Lethargy",IF(F306="P5","Jumping / splashing",IF(F306="P6","Reactivity to noise"))))))</f>
        <v>Normal activity</v>
      </c>
      <c r="H306" s="7" t="str">
        <f>IF(F306="P1","Regular swimming, even distribution",IF(F306="P2","Fish grouped in one corner",IF(F306="P3","Rapid swimming, escape behavior",IF(F306="P4","Little movement",IF(F306="P5","Jumping out of the water",IF(F306="P6","Reaction to a tool or impact"))))))</f>
        <v>Regular swimming, even distribution</v>
      </c>
      <c r="I306" s="6" t="s">
        <v>82</v>
      </c>
    </row>
    <row r="307" spans="1:9" x14ac:dyDescent="0.35">
      <c r="A307" s="4">
        <v>46158</v>
      </c>
      <c r="B307" s="10">
        <v>0.50624999999999998</v>
      </c>
      <c r="C307" s="10">
        <v>0.50972222222222219</v>
      </c>
      <c r="D307" s="5">
        <f>C307-B307</f>
        <v>3.4722222222222099E-3</v>
      </c>
      <c r="E307" s="6"/>
      <c r="F307" s="7"/>
      <c r="G307" s="7" t="b">
        <f>IF(F307="P1","Normal activity",IF(F307="P2","Clustering / aggregation",IF(F307="P3","Agitation",IF(F307="P4","Lethargy",IF(F307="P5","Jumping / splashing",IF(F307="P6","Reactivity to noise"))))))</f>
        <v>0</v>
      </c>
      <c r="H307" s="7" t="b">
        <f>IF(F307="P1","Regular swimming, even distribution",IF(F307="P2","Fish grouped in one corner",IF(F307="P3","Rapid swimming, escape behavior",IF(F307="P4","Little movement",IF(F307="P5","Jumping out of the water",IF(F307="P6","Reaction to a tool or impact"))))))</f>
        <v>0</v>
      </c>
      <c r="I307" s="6" t="s">
        <v>40</v>
      </c>
    </row>
    <row r="308" spans="1:9" x14ac:dyDescent="0.35">
      <c r="A308" s="4">
        <v>46158</v>
      </c>
      <c r="B308" s="10">
        <v>0.50972222222222219</v>
      </c>
      <c r="C308" s="10">
        <v>0.51666666666666672</v>
      </c>
      <c r="D308" s="5">
        <f>C308-B308</f>
        <v>6.9444444444445308E-3</v>
      </c>
      <c r="E308" s="6" t="s">
        <v>27</v>
      </c>
      <c r="F308" s="7" t="s">
        <v>9</v>
      </c>
      <c r="G308" s="7" t="str">
        <f>IF(F308="P1","Normal activity",IF(F308="P2","Clustering / aggregation",IF(F308="P3","Agitation",IF(F308="P4","Lethargy",IF(F308="P5","Jumping / splashing",IF(F308="P6","Reactivity to noise"))))))</f>
        <v>Normal activity</v>
      </c>
      <c r="H308" s="7" t="str">
        <f>IF(F308="P1","Regular swimming, even distribution",IF(F308="P2","Fish grouped in one corner",IF(F308="P3","Rapid swimming, escape behavior",IF(F308="P4","Little movement",IF(F308="P5","Jumping out of the water",IF(F308="P6","Reaction to a tool or impact"))))))</f>
        <v>Regular swimming, even distribution</v>
      </c>
      <c r="I308" s="6" t="s">
        <v>223</v>
      </c>
    </row>
    <row r="309" spans="1:9" x14ac:dyDescent="0.35">
      <c r="A309" s="4">
        <v>46158</v>
      </c>
      <c r="B309" s="10">
        <v>0.50972222222222219</v>
      </c>
      <c r="C309" s="10">
        <v>0.51666666666666672</v>
      </c>
      <c r="D309" s="5">
        <f>C309-B309</f>
        <v>6.9444444444445308E-3</v>
      </c>
      <c r="E309" s="6" t="s">
        <v>28</v>
      </c>
      <c r="F309" s="7" t="s">
        <v>15</v>
      </c>
      <c r="G309" s="7" t="str">
        <f>IF(F309="P1","Normal activity",IF(F309="P2","Clustering / aggregation",IF(F309="P3","Agitation",IF(F309="P4","Lethargy",IF(F309="P5","Jumping / splashing",IF(F309="P6","Reactivity to noise"))))))</f>
        <v>Agitation</v>
      </c>
      <c r="H309" s="7" t="str">
        <f>IF(F309="P1","Regular swimming, even distribution",IF(F309="P2","Fish grouped in one corner",IF(F309="P3","Rapid swimming, escape behavior",IF(F309="P4","Little movement",IF(F309="P5","Jumping out of the water",IF(F309="P6","Reaction to a tool or impact"))))))</f>
        <v>Rapid swimming, escape behavior</v>
      </c>
      <c r="I309" s="6" t="s">
        <v>224</v>
      </c>
    </row>
    <row r="310" spans="1:9" x14ac:dyDescent="0.35">
      <c r="A310" s="4">
        <v>46158</v>
      </c>
      <c r="B310" s="10">
        <v>0.50972222222222219</v>
      </c>
      <c r="C310" s="10">
        <v>0.51666666666666672</v>
      </c>
      <c r="D310" s="5">
        <f>C310-B310</f>
        <v>6.9444444444445308E-3</v>
      </c>
      <c r="E310" s="6" t="s">
        <v>28</v>
      </c>
      <c r="F310" s="7" t="s">
        <v>21</v>
      </c>
      <c r="G310" s="7" t="str">
        <f>IF(F310="P1","Normal activity",IF(F310="P2","Clustering / aggregation",IF(F310="P3","Agitation",IF(F310="P4","Lethargy",IF(F310="P5","Jumping / splashing",IF(F310="P6","Reactivity to noise"))))))</f>
        <v>Jumping / splashing</v>
      </c>
      <c r="H310" s="7" t="str">
        <f>IF(F310="P1","Regular swimming, even distribution",IF(F310="P2","Fish grouped in one corner",IF(F310="P3","Rapid swimming, escape behavior",IF(F310="P4","Little movement",IF(F310="P5","Jumping out of the water",IF(F310="P6","Reaction to a tool or impact"))))))</f>
        <v>Jumping out of the water</v>
      </c>
      <c r="I310" s="6" t="s">
        <v>224</v>
      </c>
    </row>
    <row r="311" spans="1:9" x14ac:dyDescent="0.35">
      <c r="A311" s="4">
        <v>46158</v>
      </c>
      <c r="B311" s="10">
        <v>0.50972222222222219</v>
      </c>
      <c r="C311" s="10">
        <v>0.51666666666666672</v>
      </c>
      <c r="D311" s="5">
        <f>C311-B311</f>
        <v>6.9444444444445308E-3</v>
      </c>
      <c r="E311" s="6" t="s">
        <v>29</v>
      </c>
      <c r="F311" s="7" t="s">
        <v>9</v>
      </c>
      <c r="G311" s="7" t="str">
        <f>IF(F311="P1","Normal activity",IF(F311="P2","Clustering / aggregation",IF(F311="P3","Agitation",IF(F311="P4","Lethargy",IF(F311="P5","Jumping / splashing",IF(F311="P6","Reactivity to noise"))))))</f>
        <v>Normal activity</v>
      </c>
      <c r="H311" s="7" t="str">
        <f>IF(F311="P1","Regular swimming, even distribution",IF(F311="P2","Fish grouped in one corner",IF(F311="P3","Rapid swimming, escape behavior",IF(F311="P4","Little movement",IF(F311="P5","Jumping out of the water",IF(F311="P6","Reaction to a tool or impact"))))))</f>
        <v>Regular swimming, even distribution</v>
      </c>
      <c r="I311" s="6" t="s">
        <v>225</v>
      </c>
    </row>
    <row r="312" spans="1:9" x14ac:dyDescent="0.35">
      <c r="A312" s="4">
        <v>46158</v>
      </c>
      <c r="B312" s="10">
        <v>0.50972222222222219</v>
      </c>
      <c r="C312" s="10">
        <v>0.51666666666666672</v>
      </c>
      <c r="D312" s="5">
        <f>C312-B312</f>
        <v>6.9444444444445308E-3</v>
      </c>
      <c r="E312" s="6" t="s">
        <v>31</v>
      </c>
      <c r="F312" s="7" t="s">
        <v>9</v>
      </c>
      <c r="G312" s="7" t="str">
        <f>IF(F312="P1","Normal activity",IF(F312="P2","Clustering / aggregation",IF(F312="P3","Agitation",IF(F312="P4","Lethargy",IF(F312="P5","Jumping / splashing",IF(F312="P6","Reactivity to noise"))))))</f>
        <v>Normal activity</v>
      </c>
      <c r="H312" s="7" t="str">
        <f>IF(F312="P1","Regular swimming, even distribution",IF(F312="P2","Fish grouped in one corner",IF(F312="P3","Rapid swimming, escape behavior",IF(F312="P4","Little movement",IF(F312="P5","Jumping out of the water",IF(F312="P6","Reaction to a tool or impact"))))))</f>
        <v>Regular swimming, even distribution</v>
      </c>
      <c r="I312" s="6" t="s">
        <v>225</v>
      </c>
    </row>
    <row r="313" spans="1:9" x14ac:dyDescent="0.35">
      <c r="A313" s="4">
        <v>46158</v>
      </c>
      <c r="B313" s="10">
        <v>0.56805555555555554</v>
      </c>
      <c r="C313" s="10">
        <v>0.57499999999999996</v>
      </c>
      <c r="D313" s="5">
        <f>C313-B313</f>
        <v>6.9444444444444198E-3</v>
      </c>
      <c r="E313" s="6" t="s">
        <v>27</v>
      </c>
      <c r="F313" s="7" t="s">
        <v>9</v>
      </c>
      <c r="G313" s="7" t="str">
        <f>IF(F313="P1","Normal activity",IF(F313="P2","Clustering / aggregation",IF(F313="P3","Agitation",IF(F313="P4","Lethargy",IF(F313="P5","Jumping / splashing",IF(F313="P6","Reactivity to noise"))))))</f>
        <v>Normal activity</v>
      </c>
      <c r="H313" s="7" t="str">
        <f>IF(F313="P1","Regular swimming, even distribution",IF(F313="P2","Fish grouped in one corner",IF(F313="P3","Rapid swimming, escape behavior",IF(F313="P4","Little movement",IF(F313="P5","Jumping out of the water",IF(F313="P6","Reaction to a tool or impact"))))))</f>
        <v>Regular swimming, even distribution</v>
      </c>
      <c r="I313" s="6" t="s">
        <v>226</v>
      </c>
    </row>
    <row r="314" spans="1:9" x14ac:dyDescent="0.35">
      <c r="A314" s="4">
        <v>46158</v>
      </c>
      <c r="B314" s="10">
        <v>0.56805555555555554</v>
      </c>
      <c r="C314" s="10">
        <v>0.57499999999999996</v>
      </c>
      <c r="D314" s="5">
        <f>C314-B314</f>
        <v>6.9444444444444198E-3</v>
      </c>
      <c r="E314" s="6" t="s">
        <v>28</v>
      </c>
      <c r="F314" s="7" t="s">
        <v>9</v>
      </c>
      <c r="G314" s="7" t="str">
        <f>IF(F314="P1","Normal activity",IF(F314="P2","Clustering / aggregation",IF(F314="P3","Agitation",IF(F314="P4","Lethargy",IF(F314="P5","Jumping / splashing",IF(F314="P6","Reactivity to noise"))))))</f>
        <v>Normal activity</v>
      </c>
      <c r="H314" s="7" t="str">
        <f>IF(F314="P1","Regular swimming, even distribution",IF(F314="P2","Fish grouped in one corner",IF(F314="P3","Rapid swimming, escape behavior",IF(F314="P4","Little movement",IF(F314="P5","Jumping out of the water",IF(F314="P6","Reaction to a tool or impact"))))))</f>
        <v>Regular swimming, even distribution</v>
      </c>
      <c r="I314" s="6" t="s">
        <v>227</v>
      </c>
    </row>
    <row r="315" spans="1:9" x14ac:dyDescent="0.35">
      <c r="A315" s="4">
        <v>46158</v>
      </c>
      <c r="B315" s="10">
        <v>0.56805555555555554</v>
      </c>
      <c r="C315" s="10">
        <v>0.57499999999999996</v>
      </c>
      <c r="D315" s="5">
        <f>C315-B315</f>
        <v>6.9444444444444198E-3</v>
      </c>
      <c r="E315" s="6" t="s">
        <v>29</v>
      </c>
      <c r="F315" s="7" t="s">
        <v>9</v>
      </c>
      <c r="G315" s="7" t="str">
        <f>IF(F315="P1","Normal activity",IF(F315="P2","Clustering / aggregation",IF(F315="P3","Agitation",IF(F315="P4","Lethargy",IF(F315="P5","Jumping / splashing",IF(F315="P6","Reactivity to noise"))))))</f>
        <v>Normal activity</v>
      </c>
      <c r="H315" s="7" t="str">
        <f>IF(F315="P1","Regular swimming, even distribution",IF(F315="P2","Fish grouped in one corner",IF(F315="P3","Rapid swimming, escape behavior",IF(F315="P4","Little movement",IF(F315="P5","Jumping out of the water",IF(F315="P6","Reaction to a tool or impact"))))))</f>
        <v>Regular swimming, even distribution</v>
      </c>
      <c r="I315" s="6"/>
    </row>
    <row r="316" spans="1:9" x14ac:dyDescent="0.35">
      <c r="A316" s="4">
        <v>46158</v>
      </c>
      <c r="B316" s="10">
        <v>0.56805555555555554</v>
      </c>
      <c r="C316" s="10">
        <v>0.57499999999999996</v>
      </c>
      <c r="D316" s="5">
        <f>C316-B316</f>
        <v>6.9444444444444198E-3</v>
      </c>
      <c r="E316" s="6" t="s">
        <v>31</v>
      </c>
      <c r="F316" s="7" t="s">
        <v>9</v>
      </c>
      <c r="G316" s="7" t="str">
        <f>IF(F316="P1","Normal activity",IF(F316="P2","Clustering / aggregation",IF(F316="P3","Agitation",IF(F316="P4","Lethargy",IF(F316="P5","Jumping / splashing",IF(F316="P6","Reactivity to noise"))))))</f>
        <v>Normal activity</v>
      </c>
      <c r="H316" s="7" t="str">
        <f>IF(F316="P1","Regular swimming, even distribution",IF(F316="P2","Fish grouped in one corner",IF(F316="P3","Rapid swimming, escape behavior",IF(F316="P4","Little movement",IF(F316="P5","Jumping out of the water",IF(F316="P6","Reaction to a tool or impact"))))))</f>
        <v>Regular swimming, even distribution</v>
      </c>
      <c r="I316" s="6"/>
    </row>
    <row r="317" spans="1:9" x14ac:dyDescent="0.35">
      <c r="A317" s="4">
        <v>46158</v>
      </c>
      <c r="B317" s="10">
        <v>0.57499999999999996</v>
      </c>
      <c r="C317" s="10">
        <v>0.57847222222222228</v>
      </c>
      <c r="D317" s="5">
        <f>C317-B317</f>
        <v>3.4722222222223209E-3</v>
      </c>
      <c r="E317" s="6"/>
      <c r="F317" s="7"/>
      <c r="G317" s="7" t="b">
        <f>IF(F317="P1","Normal activity",IF(F317="P2","Clustering / aggregation",IF(F317="P3","Agitation",IF(F317="P4","Lethargy",IF(F317="P5","Jumping / splashing",IF(F317="P6","Reactivity to noise"))))))</f>
        <v>0</v>
      </c>
      <c r="H317" s="7" t="b">
        <f>IF(F317="P1","Regular swimming, even distribution",IF(F317="P2","Fish grouped in one corner",IF(F317="P3","Rapid swimming, escape behavior",IF(F317="P4","Little movement",IF(F317="P5","Jumping out of the water",IF(F317="P6","Reaction to a tool or impact"))))))</f>
        <v>0</v>
      </c>
      <c r="I317" s="6" t="s">
        <v>182</v>
      </c>
    </row>
    <row r="318" spans="1:9" x14ac:dyDescent="0.35">
      <c r="A318" s="4">
        <v>46158</v>
      </c>
      <c r="B318" s="10">
        <v>0.57847222222222228</v>
      </c>
      <c r="C318" s="10">
        <v>0.5854166666666667</v>
      </c>
      <c r="D318" s="5">
        <f>C318-B318</f>
        <v>6.9444444444444198E-3</v>
      </c>
      <c r="E318" s="6" t="s">
        <v>27</v>
      </c>
      <c r="F318" s="7" t="s">
        <v>9</v>
      </c>
      <c r="G318" s="7" t="str">
        <f>IF(F318="P1","Normal activity",IF(F318="P2","Clustering / aggregation",IF(F318="P3","Agitation",IF(F318="P4","Lethargy",IF(F318="P5","Jumping / splashing",IF(F318="P6","Reactivity to noise"))))))</f>
        <v>Normal activity</v>
      </c>
      <c r="H318" s="7" t="str">
        <f>IF(F318="P1","Regular swimming, even distribution",IF(F318="P2","Fish grouped in one corner",IF(F318="P3","Rapid swimming, escape behavior",IF(F318="P4","Little movement",IF(F318="P5","Jumping out of the water",IF(F318="P6","Reaction to a tool or impact"))))))</f>
        <v>Regular swimming, even distribution</v>
      </c>
      <c r="I318" s="6" t="s">
        <v>228</v>
      </c>
    </row>
    <row r="319" spans="1:9" x14ac:dyDescent="0.35">
      <c r="A319" s="4">
        <v>46158</v>
      </c>
      <c r="B319" s="10">
        <v>0.57847222222222228</v>
      </c>
      <c r="C319" s="10">
        <v>0.5854166666666667</v>
      </c>
      <c r="D319" s="5">
        <f>C319-B319</f>
        <v>6.9444444444444198E-3</v>
      </c>
      <c r="E319" s="6" t="s">
        <v>28</v>
      </c>
      <c r="F319" s="7" t="s">
        <v>9</v>
      </c>
      <c r="G319" s="7" t="str">
        <f>IF(F319="P1","Normal activity",IF(F319="P2","Clustering / aggregation",IF(F319="P3","Agitation",IF(F319="P4","Lethargy",IF(F319="P5","Jumping / splashing",IF(F319="P6","Reactivity to noise"))))))</f>
        <v>Normal activity</v>
      </c>
      <c r="H319" s="7" t="str">
        <f>IF(F319="P1","Regular swimming, even distribution",IF(F319="P2","Fish grouped in one corner",IF(F319="P3","Rapid swimming, escape behavior",IF(F319="P4","Little movement",IF(F319="P5","Jumping out of the water",IF(F319="P6","Reaction to a tool or impact"))))))</f>
        <v>Regular swimming, even distribution</v>
      </c>
      <c r="I319" s="6" t="s">
        <v>229</v>
      </c>
    </row>
    <row r="320" spans="1:9" x14ac:dyDescent="0.35">
      <c r="A320" s="4">
        <v>46158</v>
      </c>
      <c r="B320" s="10">
        <v>0.57847222222222228</v>
      </c>
      <c r="C320" s="10">
        <v>0.5854166666666667</v>
      </c>
      <c r="D320" s="5">
        <f>C320-B320</f>
        <v>6.9444444444444198E-3</v>
      </c>
      <c r="E320" s="6" t="s">
        <v>29</v>
      </c>
      <c r="F320" s="7" t="s">
        <v>9</v>
      </c>
      <c r="G320" s="7" t="str">
        <f>IF(F320="P1","Normal activity",IF(F320="P2","Clustering / aggregation",IF(F320="P3","Agitation",IF(F320="P4","Lethargy",IF(F320="P5","Jumping / splashing",IF(F320="P6","Reactivity to noise"))))))</f>
        <v>Normal activity</v>
      </c>
      <c r="H320" s="7" t="str">
        <f>IF(F320="P1","Regular swimming, even distribution",IF(F320="P2","Fish grouped in one corner",IF(F320="P3","Rapid swimming, escape behavior",IF(F320="P4","Little movement",IF(F320="P5","Jumping out of the water",IF(F320="P6","Reaction to a tool or impact"))))))</f>
        <v>Regular swimming, even distribution</v>
      </c>
      <c r="I320" s="6" t="s">
        <v>213</v>
      </c>
    </row>
    <row r="321" spans="1:9" x14ac:dyDescent="0.35">
      <c r="A321" s="4">
        <v>46158</v>
      </c>
      <c r="B321" s="10">
        <v>0.57847222222222228</v>
      </c>
      <c r="C321" s="10">
        <v>0.5854166666666667</v>
      </c>
      <c r="D321" s="5">
        <f>C321-B321</f>
        <v>6.9444444444444198E-3</v>
      </c>
      <c r="E321" s="6" t="s">
        <v>29</v>
      </c>
      <c r="F321" s="7" t="s">
        <v>15</v>
      </c>
      <c r="G321" s="7" t="str">
        <f>IF(F321="P1","Normal activity",IF(F321="P2","Clustering / aggregation",IF(F321="P3","Agitation",IF(F321="P4","Lethargy",IF(F321="P5","Jumping / splashing",IF(F321="P6","Reactivity to noise"))))))</f>
        <v>Agitation</v>
      </c>
      <c r="H321" s="7" t="str">
        <f>IF(F321="P1","Regular swimming, even distribution",IF(F321="P2","Fish grouped in one corner",IF(F321="P3","Rapid swimming, escape behavior",IF(F321="P4","Little movement",IF(F321="P5","Jumping out of the water",IF(F321="P6","Reaction to a tool or impact"))))))</f>
        <v>Rapid swimming, escape behavior</v>
      </c>
      <c r="I321" s="6"/>
    </row>
    <row r="322" spans="1:9" x14ac:dyDescent="0.35">
      <c r="A322" s="4">
        <v>46158</v>
      </c>
      <c r="B322" s="10">
        <v>0.57847222222222228</v>
      </c>
      <c r="C322" s="10">
        <v>0.5854166666666667</v>
      </c>
      <c r="D322" s="5">
        <f>C322-B322</f>
        <v>6.9444444444444198E-3</v>
      </c>
      <c r="E322" s="6" t="s">
        <v>31</v>
      </c>
      <c r="F322" s="7" t="s">
        <v>9</v>
      </c>
      <c r="G322" s="7" t="str">
        <f>IF(F322="P1","Normal activity",IF(F322="P2","Clustering / aggregation",IF(F322="P3","Agitation",IF(F322="P4","Lethargy",IF(F322="P5","Jumping / splashing",IF(F322="P6","Reactivity to noise"))))))</f>
        <v>Normal activity</v>
      </c>
      <c r="H322" s="7" t="str">
        <f>IF(F322="P1","Regular swimming, even distribution",IF(F322="P2","Fish grouped in one corner",IF(F322="P3","Rapid swimming, escape behavior",IF(F322="P4","Little movement",IF(F322="P5","Jumping out of the water",IF(F322="P6","Reaction to a tool or impact"))))))</f>
        <v>Regular swimming, even distribution</v>
      </c>
      <c r="I322" s="6" t="s">
        <v>230</v>
      </c>
    </row>
    <row r="323" spans="1:9" x14ac:dyDescent="0.35">
      <c r="A323" s="4">
        <v>46158</v>
      </c>
      <c r="B323" s="10">
        <v>0.57847222222222228</v>
      </c>
      <c r="C323" s="10">
        <v>0.5854166666666667</v>
      </c>
      <c r="D323" s="5">
        <f>C323-B323</f>
        <v>6.9444444444444198E-3</v>
      </c>
      <c r="E323" s="6" t="s">
        <v>31</v>
      </c>
      <c r="F323" s="7" t="s">
        <v>15</v>
      </c>
      <c r="G323" s="7" t="str">
        <f>IF(F323="P1","Normal activity",IF(F323="P2","Clustering / aggregation",IF(F323="P3","Agitation",IF(F323="P4","Lethargy",IF(F323="P5","Jumping / splashing",IF(F323="P6","Reactivity to noise"))))))</f>
        <v>Agitation</v>
      </c>
      <c r="H323" s="7" t="str">
        <f>IF(F323="P1","Regular swimming, even distribution",IF(F323="P2","Fish grouped in one corner",IF(F323="P3","Rapid swimming, escape behavior",IF(F323="P4","Little movement",IF(F323="P5","Jumping out of the water",IF(F323="P6","Reaction to a tool or impact"))))))</f>
        <v>Rapid swimming, escape behavior</v>
      </c>
      <c r="I323" s="6"/>
    </row>
    <row r="324" spans="1:9" x14ac:dyDescent="0.35">
      <c r="A324" s="4">
        <v>46163</v>
      </c>
      <c r="B324" s="10">
        <v>0.37986111111111109</v>
      </c>
      <c r="C324" s="10">
        <v>0.38124999999999998</v>
      </c>
      <c r="D324" s="5">
        <f>C324-B324</f>
        <v>1.388888888888884E-3</v>
      </c>
      <c r="E324" s="6" t="s">
        <v>27</v>
      </c>
      <c r="F324" s="7" t="s">
        <v>9</v>
      </c>
      <c r="G324" s="7" t="str">
        <f>IF(F324="P1","Normal activity",IF(F324="P2","Clustering / aggregation",IF(F324="P3","Agitation",IF(F324="P4","Lethargy",IF(F324="P5","Jumping / splashing",IF(F324="P6","Reactivity to noise"))))))</f>
        <v>Normal activity</v>
      </c>
      <c r="H324" s="7" t="str">
        <f>IF(F324="P1","Regular swimming, even distribution",IF(F324="P2","Fish grouped in one corner",IF(F324="P3","Rapid swimming, escape behavior",IF(F324="P4","Little movement",IF(F324="P5","Jumping out of the water",IF(F324="P6","Reaction to a tool or impact"))))))</f>
        <v>Regular swimming, even distribution</v>
      </c>
      <c r="I324" s="6" t="s">
        <v>63</v>
      </c>
    </row>
    <row r="325" spans="1:9" x14ac:dyDescent="0.35">
      <c r="A325" s="4">
        <v>46163</v>
      </c>
      <c r="B325" s="10">
        <v>0.38124999999999998</v>
      </c>
      <c r="C325" s="10">
        <v>0.38263888888888886</v>
      </c>
      <c r="D325" s="5">
        <f>C325-B325</f>
        <v>1.388888888888884E-3</v>
      </c>
      <c r="E325" s="6" t="s">
        <v>28</v>
      </c>
      <c r="F325" s="7" t="s">
        <v>12</v>
      </c>
      <c r="G325" s="7" t="str">
        <f>IF(F325="P1","Normal activity",IF(F325="P2","Clustering / aggregation",IF(F325="P3","Agitation",IF(F325="P4","Lethargy",IF(F325="P5","Jumping / splashing",IF(F325="P6","Reactivity to noise"))))))</f>
        <v>Clustering / aggregation</v>
      </c>
      <c r="H325" s="7" t="str">
        <f>IF(F325="P1","Regular swimming, even distribution",IF(F325="P2","Fish grouped in one corner",IF(F325="P3","Rapid swimming, escape behavior",IF(F325="P4","Little movement",IF(F325="P5","Jumping out of the water",IF(F325="P6","Reaction to a tool or impact"))))))</f>
        <v>Fish grouped in one corner</v>
      </c>
      <c r="I325" s="6" t="s">
        <v>231</v>
      </c>
    </row>
    <row r="326" spans="1:9" x14ac:dyDescent="0.35">
      <c r="A326" s="4">
        <v>46163</v>
      </c>
      <c r="B326" s="10">
        <v>0.38124999999999998</v>
      </c>
      <c r="C326" s="10">
        <v>0.38263888888888886</v>
      </c>
      <c r="D326" s="5">
        <f>C326-B326</f>
        <v>1.388888888888884E-3</v>
      </c>
      <c r="E326" s="6" t="s">
        <v>28</v>
      </c>
      <c r="F326" s="7" t="s">
        <v>18</v>
      </c>
      <c r="G326" s="7" t="str">
        <f>IF(F326="P1","Normal activity",IF(F326="P2","Clustering / aggregation",IF(F326="P3","Agitation",IF(F326="P4","Lethargy",IF(F326="P5","Jumping / splashing",IF(F326="P6","Reactivity to noise"))))))</f>
        <v>Lethargy</v>
      </c>
      <c r="H326" s="7" t="str">
        <f>IF(F326="P1","Regular swimming, even distribution",IF(F326="P2","Fish grouped in one corner",IF(F326="P3","Rapid swimming, escape behavior",IF(F326="P4","Little movement",IF(F326="P5","Jumping out of the water",IF(F326="P6","Reaction to a tool or impact"))))))</f>
        <v>Little movement</v>
      </c>
      <c r="I326" s="6"/>
    </row>
    <row r="327" spans="1:9" x14ac:dyDescent="0.35">
      <c r="A327" s="4">
        <v>46163</v>
      </c>
      <c r="B327" s="10">
        <v>0.38263888888888886</v>
      </c>
      <c r="C327" s="10">
        <v>0.3840277777777778</v>
      </c>
      <c r="D327" s="5">
        <f>C327-B327</f>
        <v>1.3888888888889395E-3</v>
      </c>
      <c r="E327" s="6" t="s">
        <v>29</v>
      </c>
      <c r="F327" s="7" t="s">
        <v>18</v>
      </c>
      <c r="G327" s="7" t="str">
        <f>IF(F327="P1","Normal activity",IF(F327="P2","Clustering / aggregation",IF(F327="P3","Agitation",IF(F327="P4","Lethargy",IF(F327="P5","Jumping / splashing",IF(F327="P6","Reactivity to noise"))))))</f>
        <v>Lethargy</v>
      </c>
      <c r="H327" s="7" t="str">
        <f>IF(F327="P1","Regular swimming, even distribution",IF(F327="P2","Fish grouped in one corner",IF(F327="P3","Rapid swimming, escape behavior",IF(F327="P4","Little movement",IF(F327="P5","Jumping out of the water",IF(F327="P6","Reaction to a tool or impact"))))))</f>
        <v>Little movement</v>
      </c>
      <c r="I327" s="6" t="s">
        <v>232</v>
      </c>
    </row>
    <row r="328" spans="1:9" x14ac:dyDescent="0.35">
      <c r="A328" s="4">
        <v>46163</v>
      </c>
      <c r="B328" s="10">
        <v>0.3840277777777778</v>
      </c>
      <c r="C328" s="10">
        <v>0.38541666666666669</v>
      </c>
      <c r="D328" s="5">
        <f>C328-B328</f>
        <v>1.388888888888884E-3</v>
      </c>
      <c r="E328" s="6" t="s">
        <v>31</v>
      </c>
      <c r="F328" s="7" t="s">
        <v>12</v>
      </c>
      <c r="G328" s="7" t="str">
        <f>IF(F328="P1","Normal activity",IF(F328="P2","Clustering / aggregation",IF(F328="P3","Agitation",IF(F328="P4","Lethargy",IF(F328="P5","Jumping / splashing",IF(F328="P6","Reactivity to noise"))))))</f>
        <v>Clustering / aggregation</v>
      </c>
      <c r="H328" s="7" t="str">
        <f>IF(F328="P1","Regular swimming, even distribution",IF(F328="P2","Fish grouped in one corner",IF(F328="P3","Rapid swimming, escape behavior",IF(F328="P4","Little movement",IF(F328="P5","Jumping out of the water",IF(F328="P6","Reaction to a tool or impact"))))))</f>
        <v>Fish grouped in one corner</v>
      </c>
      <c r="I328" s="6" t="s">
        <v>233</v>
      </c>
    </row>
    <row r="329" spans="1:9" x14ac:dyDescent="0.35">
      <c r="A329" s="4">
        <v>46163</v>
      </c>
      <c r="B329" s="10">
        <v>0.38541666666666669</v>
      </c>
      <c r="C329" s="10">
        <v>0.38680555555555557</v>
      </c>
      <c r="D329" s="5">
        <f>C329-B329</f>
        <v>1.388888888888884E-3</v>
      </c>
      <c r="E329" s="6"/>
      <c r="F329" s="7"/>
      <c r="G329" s="7" t="b">
        <f>IF(F329="P1","Normal activity",IF(F329="P2","Clustering / aggregation",IF(F329="P3","Agitation",IF(F329="P4","Lethargy",IF(F329="P5","Jumping / splashing",IF(F329="P6","Reactivity to noise"))))))</f>
        <v>0</v>
      </c>
      <c r="H329" s="7" t="b">
        <f>IF(F329="P1","Regular swimming, even distribution",IF(F329="P2","Fish grouped in one corner",IF(F329="P3","Rapid swimming, escape behavior",IF(F329="P4","Little movement",IF(F329="P5","Jumping out of the water",IF(F329="P6","Reaction to a tool or impact"))))))</f>
        <v>0</v>
      </c>
      <c r="I329" s="6" t="s">
        <v>234</v>
      </c>
    </row>
    <row r="330" spans="1:9" x14ac:dyDescent="0.35">
      <c r="A330" s="4">
        <v>46163</v>
      </c>
      <c r="B330" s="10">
        <v>0.38680555555555557</v>
      </c>
      <c r="C330" s="10">
        <v>0.38819444444444445</v>
      </c>
      <c r="D330" s="5">
        <f>C330-B330</f>
        <v>1.388888888888884E-3</v>
      </c>
      <c r="E330" s="6"/>
      <c r="F330" s="7"/>
      <c r="G330" s="7" t="b">
        <f>IF(F330="P1","Normal activity",IF(F330="P2","Clustering / aggregation",IF(F330="P3","Agitation",IF(F330="P4","Lethargy",IF(F330="P5","Jumping / splashing",IF(F330="P6","Reactivity to noise"))))))</f>
        <v>0</v>
      </c>
      <c r="H330" s="7" t="b">
        <f>IF(F330="P1","Regular swimming, even distribution",IF(F330="P2","Fish grouped in one corner",IF(F330="P3","Rapid swimming, escape behavior",IF(F330="P4","Little movement",IF(F330="P5","Jumping out of the water",IF(F330="P6","Reaction to a tool or impact"))))))</f>
        <v>0</v>
      </c>
      <c r="I330" s="6" t="s">
        <v>235</v>
      </c>
    </row>
    <row r="331" spans="1:9" x14ac:dyDescent="0.35">
      <c r="A331" s="4">
        <v>46163</v>
      </c>
      <c r="B331" s="10">
        <v>0.38819444444444445</v>
      </c>
      <c r="C331" s="10">
        <v>0.38958333333333334</v>
      </c>
      <c r="D331" s="5">
        <f>C331-B331</f>
        <v>1.388888888888884E-3</v>
      </c>
      <c r="E331" s="6" t="s">
        <v>27</v>
      </c>
      <c r="F331" s="7" t="s">
        <v>9</v>
      </c>
      <c r="G331" s="7" t="str">
        <f>IF(F331="P1","Normal activity",IF(F331="P2","Clustering / aggregation",IF(F331="P3","Agitation",IF(F331="P4","Lethargy",IF(F331="P5","Jumping / splashing",IF(F331="P6","Reactivity to noise"))))))</f>
        <v>Normal activity</v>
      </c>
      <c r="H331" s="7" t="str">
        <f>IF(F331="P1","Regular swimming, even distribution",IF(F331="P2","Fish grouped in one corner",IF(F331="P3","Rapid swimming, escape behavior",IF(F331="P4","Little movement",IF(F331="P5","Jumping out of the water",IF(F331="P6","Reaction to a tool or impact"))))))</f>
        <v>Regular swimming, even distribution</v>
      </c>
      <c r="I331" s="6"/>
    </row>
    <row r="332" spans="1:9" x14ac:dyDescent="0.35">
      <c r="A332" s="4">
        <v>46163</v>
      </c>
      <c r="B332" s="10">
        <v>0.38958333333333334</v>
      </c>
      <c r="C332" s="10">
        <v>0.39097222222222222</v>
      </c>
      <c r="D332" s="5">
        <f>C332-B332</f>
        <v>1.388888888888884E-3</v>
      </c>
      <c r="E332" s="6" t="s">
        <v>28</v>
      </c>
      <c r="F332" s="7" t="s">
        <v>9</v>
      </c>
      <c r="G332" s="7" t="str">
        <f>IF(F332="P1","Normal activity",IF(F332="P2","Clustering / aggregation",IF(F332="P3","Agitation",IF(F332="P4","Lethargy",IF(F332="P5","Jumping / splashing",IF(F332="P6","Reactivity to noise"))))))</f>
        <v>Normal activity</v>
      </c>
      <c r="H332" s="7" t="str">
        <f>IF(F332="P1","Regular swimming, even distribution",IF(F332="P2","Fish grouped in one corner",IF(F332="P3","Rapid swimming, escape behavior",IF(F332="P4","Little movement",IF(F332="P5","Jumping out of the water",IF(F332="P6","Reaction to a tool or impact"))))))</f>
        <v>Regular swimming, even distribution</v>
      </c>
      <c r="I332" s="6"/>
    </row>
    <row r="333" spans="1:9" x14ac:dyDescent="0.35">
      <c r="A333" s="4">
        <v>46163</v>
      </c>
      <c r="B333" s="10">
        <v>0.39097222222222222</v>
      </c>
      <c r="C333" s="10">
        <v>0.3923611111111111</v>
      </c>
      <c r="D333" s="5">
        <f>C333-B333</f>
        <v>1.388888888888884E-3</v>
      </c>
      <c r="E333" s="6" t="s">
        <v>29</v>
      </c>
      <c r="F333" s="7" t="s">
        <v>9</v>
      </c>
      <c r="G333" s="7" t="str">
        <f>IF(F333="P1","Normal activity",IF(F333="P2","Clustering / aggregation",IF(F333="P3","Agitation",IF(F333="P4","Lethargy",IF(F333="P5","Jumping / splashing",IF(F333="P6","Reactivity to noise"))))))</f>
        <v>Normal activity</v>
      </c>
      <c r="H333" s="7" t="str">
        <f>IF(F333="P1","Regular swimming, even distribution",IF(F333="P2","Fish grouped in one corner",IF(F333="P3","Rapid swimming, escape behavior",IF(F333="P4","Little movement",IF(F333="P5","Jumping out of the water",IF(F333="P6","Reaction to a tool or impact"))))))</f>
        <v>Regular swimming, even distribution</v>
      </c>
      <c r="I333" s="6"/>
    </row>
    <row r="334" spans="1:9" x14ac:dyDescent="0.35">
      <c r="A334" s="4">
        <v>46163</v>
      </c>
      <c r="B334" s="10">
        <v>0.3923611111111111</v>
      </c>
      <c r="C334" s="10">
        <v>0.39374999999999999</v>
      </c>
      <c r="D334" s="5">
        <f>C334-B334</f>
        <v>1.388888888888884E-3</v>
      </c>
      <c r="E334" s="6" t="s">
        <v>31</v>
      </c>
      <c r="F334" s="7" t="s">
        <v>9</v>
      </c>
      <c r="G334" s="7" t="str">
        <f>IF(F334="P1","Normal activity",IF(F334="P2","Clustering / aggregation",IF(F334="P3","Agitation",IF(F334="P4","Lethargy",IF(F334="P5","Jumping / splashing",IF(F334="P6","Reactivity to noise"))))))</f>
        <v>Normal activity</v>
      </c>
      <c r="H334" s="7" t="str">
        <f>IF(F334="P1","Regular swimming, even distribution",IF(F334="P2","Fish grouped in one corner",IF(F334="P3","Rapid swimming, escape behavior",IF(F334="P4","Little movement",IF(F334="P5","Jumping out of the water",IF(F334="P6","Reaction to a tool or impact"))))))</f>
        <v>Regular swimming, even distribution</v>
      </c>
      <c r="I334" s="6"/>
    </row>
    <row r="335" spans="1:9" x14ac:dyDescent="0.35">
      <c r="A335" s="4">
        <v>46163</v>
      </c>
      <c r="B335" s="10">
        <v>0.44861111111111113</v>
      </c>
      <c r="C335" s="10">
        <v>0.45555555555555555</v>
      </c>
      <c r="D335" s="5">
        <f>C335-B335</f>
        <v>6.9444444444444198E-3</v>
      </c>
      <c r="E335" s="6" t="s">
        <v>27</v>
      </c>
      <c r="F335" s="7" t="s">
        <v>9</v>
      </c>
      <c r="G335" s="7" t="str">
        <f>IF(F335="P1","Normal activity",IF(F335="P2","Clustering / aggregation",IF(F335="P3","Agitation",IF(F335="P4","Lethargy",IF(F335="P5","Jumping / splashing",IF(F335="P6","Reactivity to noise"))))))</f>
        <v>Normal activity</v>
      </c>
      <c r="H335" s="7" t="str">
        <f>IF(F335="P1","Regular swimming, even distribution",IF(F335="P2","Fish grouped in one corner",IF(F335="P3","Rapid swimming, escape behavior",IF(F335="P4","Little movement",IF(F335="P5","Jumping out of the water",IF(F335="P6","Reaction to a tool or impact"))))))</f>
        <v>Regular swimming, even distribution</v>
      </c>
      <c r="I335" s="6"/>
    </row>
    <row r="336" spans="1:9" x14ac:dyDescent="0.35">
      <c r="A336" s="4">
        <v>46163</v>
      </c>
      <c r="B336" s="10">
        <v>0.44861111111111113</v>
      </c>
      <c r="C336" s="10">
        <v>0.45555555555555555</v>
      </c>
      <c r="D336" s="5">
        <f>C336-B336</f>
        <v>6.9444444444444198E-3</v>
      </c>
      <c r="E336" s="6" t="s">
        <v>28</v>
      </c>
      <c r="F336" s="7" t="s">
        <v>9</v>
      </c>
      <c r="G336" s="7" t="str">
        <f>IF(F336="P1","Normal activity",IF(F336="P2","Clustering / aggregation",IF(F336="P3","Agitation",IF(F336="P4","Lethargy",IF(F336="P5","Jumping / splashing",IF(F336="P6","Reactivity to noise"))))))</f>
        <v>Normal activity</v>
      </c>
      <c r="H336" s="7" t="str">
        <f>IF(F336="P1","Regular swimming, even distribution",IF(F336="P2","Fish grouped in one corner",IF(F336="P3","Rapid swimming, escape behavior",IF(F336="P4","Little movement",IF(F336="P5","Jumping out of the water",IF(F336="P6","Reaction to a tool or impact"))))))</f>
        <v>Regular swimming, even distribution</v>
      </c>
      <c r="I336" s="6"/>
    </row>
    <row r="337" spans="1:9" x14ac:dyDescent="0.35">
      <c r="A337" s="4">
        <v>46163</v>
      </c>
      <c r="B337" s="10">
        <v>0.44861111111111113</v>
      </c>
      <c r="C337" s="10">
        <v>0.45555555555555555</v>
      </c>
      <c r="D337" s="5">
        <f>C337-B337</f>
        <v>6.9444444444444198E-3</v>
      </c>
      <c r="E337" s="6" t="s">
        <v>29</v>
      </c>
      <c r="F337" s="7" t="s">
        <v>9</v>
      </c>
      <c r="G337" s="7" t="str">
        <f>IF(F337="P1","Normal activity",IF(F337="P2","Clustering / aggregation",IF(F337="P3","Agitation",IF(F337="P4","Lethargy",IF(F337="P5","Jumping / splashing",IF(F337="P6","Reactivity to noise"))))))</f>
        <v>Normal activity</v>
      </c>
      <c r="H337" s="7" t="str">
        <f>IF(F337="P1","Regular swimming, even distribution",IF(F337="P2","Fish grouped in one corner",IF(F337="P3","Rapid swimming, escape behavior",IF(F337="P4","Little movement",IF(F337="P5","Jumping out of the water",IF(F337="P6","Reaction to a tool or impact"))))))</f>
        <v>Regular swimming, even distribution</v>
      </c>
      <c r="I337" s="6"/>
    </row>
    <row r="338" spans="1:9" x14ac:dyDescent="0.35">
      <c r="A338" s="4">
        <v>46163</v>
      </c>
      <c r="B338" s="10">
        <v>0.44861111111111113</v>
      </c>
      <c r="C338" s="10">
        <v>0.4513888888888889</v>
      </c>
      <c r="D338" s="5">
        <f>C338-B338</f>
        <v>2.7777777777777679E-3</v>
      </c>
      <c r="E338" s="6" t="s">
        <v>29</v>
      </c>
      <c r="F338" s="7" t="s">
        <v>15</v>
      </c>
      <c r="G338" s="7" t="str">
        <f>IF(F338="P1","Normal activity",IF(F338="P2","Clustering / aggregation",IF(F338="P3","Agitation",IF(F338="P4","Lethargy",IF(F338="P5","Jumping / splashing",IF(F338="P6","Reactivity to noise"))))))</f>
        <v>Agitation</v>
      </c>
      <c r="H338" s="7" t="str">
        <f>IF(F338="P1","Regular swimming, even distribution",IF(F338="P2","Fish grouped in one corner",IF(F338="P3","Rapid swimming, escape behavior",IF(F338="P4","Little movement",IF(F338="P5","Jumping out of the water",IF(F338="P6","Reaction to a tool or impact"))))))</f>
        <v>Rapid swimming, escape behavior</v>
      </c>
      <c r="I338" s="6" t="s">
        <v>236</v>
      </c>
    </row>
    <row r="339" spans="1:9" x14ac:dyDescent="0.35">
      <c r="A339" s="4">
        <v>46163</v>
      </c>
      <c r="B339" s="10">
        <v>0.44861111111111113</v>
      </c>
      <c r="C339" s="10">
        <v>0.4513888888888889</v>
      </c>
      <c r="D339" s="5">
        <f>C339-B339</f>
        <v>2.7777777777777679E-3</v>
      </c>
      <c r="E339" s="6" t="s">
        <v>31</v>
      </c>
      <c r="F339" s="7" t="s">
        <v>12</v>
      </c>
      <c r="G339" s="7" t="str">
        <f>IF(F339="P1","Normal activity",IF(F339="P2","Clustering / aggregation",IF(F339="P3","Agitation",IF(F339="P4","Lethargy",IF(F339="P5","Jumping / splashing",IF(F339="P6","Reactivity to noise"))))))</f>
        <v>Clustering / aggregation</v>
      </c>
      <c r="H339" s="7" t="str">
        <f>IF(F339="P1","Regular swimming, even distribution",IF(F339="P2","Fish grouped in one corner",IF(F339="P3","Rapid swimming, escape behavior",IF(F339="P4","Little movement",IF(F339="P5","Jumping out of the water",IF(F339="P6","Reaction to a tool or impact"))))))</f>
        <v>Fish grouped in one corner</v>
      </c>
      <c r="I339" s="6"/>
    </row>
    <row r="340" spans="1:9" x14ac:dyDescent="0.35">
      <c r="A340" s="4">
        <v>46163</v>
      </c>
      <c r="B340" s="10">
        <v>0.44861111111111113</v>
      </c>
      <c r="C340" s="10">
        <v>0.4513888888888889</v>
      </c>
      <c r="D340" s="5">
        <f>C340-B340</f>
        <v>2.7777777777777679E-3</v>
      </c>
      <c r="E340" s="6" t="s">
        <v>31</v>
      </c>
      <c r="F340" s="7" t="s">
        <v>24</v>
      </c>
      <c r="G340" s="7" t="str">
        <f>IF(F340="P1","Normal activity",IF(F340="P2","Clustering / aggregation",IF(F340="P3","Agitation",IF(F340="P4","Lethargy",IF(F340="P5","Jumping / splashing",IF(F340="P6","Reactivity to noise"))))))</f>
        <v>Reactivity to noise</v>
      </c>
      <c r="H340" s="7" t="str">
        <f>IF(F340="P1","Regular swimming, even distribution",IF(F340="P2","Fish grouped in one corner",IF(F340="P3","Rapid swimming, escape behavior",IF(F340="P4","Little movement",IF(F340="P5","Jumping out of the water",IF(F340="P6","Reaction to a tool or impact"))))))</f>
        <v>Reaction to a tool or impact</v>
      </c>
      <c r="I340" s="10" t="s">
        <v>237</v>
      </c>
    </row>
    <row r="341" spans="1:9" x14ac:dyDescent="0.35">
      <c r="A341" s="4">
        <v>46163</v>
      </c>
      <c r="B341" s="10">
        <v>0.44861111111111113</v>
      </c>
      <c r="C341" s="10">
        <v>0.4513888888888889</v>
      </c>
      <c r="D341" s="5">
        <f>C341-B341</f>
        <v>2.7777777777777679E-3</v>
      </c>
      <c r="E341" s="6" t="s">
        <v>28</v>
      </c>
      <c r="F341" s="7" t="s">
        <v>12</v>
      </c>
      <c r="G341" s="7" t="str">
        <f>IF(F341="P1","Normal activity",IF(F341="P2","Clustering / aggregation",IF(F341="P3","Agitation",IF(F341="P4","Lethargy",IF(F341="P5","Jumping / splashing",IF(F341="P6","Reactivity to noise"))))))</f>
        <v>Clustering / aggregation</v>
      </c>
      <c r="H341" s="7" t="str">
        <f>IF(F341="P1","Regular swimming, even distribution",IF(F341="P2","Fish grouped in one corner",IF(F341="P3","Rapid swimming, escape behavior",IF(F341="P4","Little movement",IF(F341="P5","Jumping out of the water",IF(F341="P6","Reaction to a tool or impact"))))))</f>
        <v>Fish grouped in one corner</v>
      </c>
      <c r="I341" s="6" t="s">
        <v>238</v>
      </c>
    </row>
    <row r="342" spans="1:9" x14ac:dyDescent="0.35">
      <c r="A342" s="4">
        <v>46163</v>
      </c>
      <c r="B342" s="10">
        <v>0.45555555555555555</v>
      </c>
      <c r="C342" s="10">
        <v>0.45902777777777776</v>
      </c>
      <c r="D342" s="5">
        <f>C342-B342</f>
        <v>3.4722222222222099E-3</v>
      </c>
      <c r="E342" s="6"/>
      <c r="F342" s="7"/>
      <c r="G342" s="7" t="b">
        <f>IF(F342="P1","Normal activity",IF(F342="P2","Clustering / aggregation",IF(F342="P3","Agitation",IF(F342="P4","Lethargy",IF(F342="P5","Jumping / splashing",IF(F342="P6","Reactivity to noise"))))))</f>
        <v>0</v>
      </c>
      <c r="H342" s="7" t="b">
        <f>IF(F342="P1","Regular swimming, even distribution",IF(F342="P2","Fish grouped in one corner",IF(F342="P3","Rapid swimming, escape behavior",IF(F342="P4","Little movement",IF(F342="P5","Jumping out of the water",IF(F342="P6","Reaction to a tool or impact"))))))</f>
        <v>0</v>
      </c>
      <c r="I342" s="6" t="s">
        <v>98</v>
      </c>
    </row>
    <row r="343" spans="1:9" x14ac:dyDescent="0.35">
      <c r="A343" s="4">
        <v>46163</v>
      </c>
      <c r="B343" s="10">
        <v>0.45555555555555555</v>
      </c>
      <c r="C343" s="10">
        <v>0.4597222222222222</v>
      </c>
      <c r="D343" s="5">
        <f>C343-B343</f>
        <v>4.1666666666666519E-3</v>
      </c>
      <c r="E343" s="6" t="s">
        <v>27</v>
      </c>
      <c r="F343" s="7" t="s">
        <v>12</v>
      </c>
      <c r="G343" s="7" t="str">
        <f>IF(F343="P1","Normal activity",IF(F343="P2","Clustering / aggregation",IF(F343="P3","Agitation",IF(F343="P4","Lethargy",IF(F343="P5","Jumping / splashing",IF(F343="P6","Reactivity to noise"))))))</f>
        <v>Clustering / aggregation</v>
      </c>
      <c r="H343" s="7" t="str">
        <f>IF(F343="P1","Regular swimming, even distribution",IF(F343="P2","Fish grouped in one corner",IF(F343="P3","Rapid swimming, escape behavior",IF(F343="P4","Little movement",IF(F343="P5","Jumping out of the water",IF(F343="P6","Reaction to a tool or impact"))))))</f>
        <v>Fish grouped in one corner</v>
      </c>
      <c r="I343" s="6" t="s">
        <v>239</v>
      </c>
    </row>
    <row r="344" spans="1:9" x14ac:dyDescent="0.35">
      <c r="A344" s="4">
        <v>46163</v>
      </c>
      <c r="B344" s="10">
        <v>0.45555555555555555</v>
      </c>
      <c r="C344" s="10">
        <v>0.4597222222222222</v>
      </c>
      <c r="D344" s="5">
        <f>C344-B344</f>
        <v>4.1666666666666519E-3</v>
      </c>
      <c r="E344" s="6" t="s">
        <v>27</v>
      </c>
      <c r="F344" s="7" t="s">
        <v>9</v>
      </c>
      <c r="G344" s="7" t="str">
        <f>IF(F344="P1","Normal activity",IF(F344="P2","Clustering / aggregation",IF(F344="P3","Agitation",IF(F344="P4","Lethargy",IF(F344="P5","Jumping / splashing",IF(F344="P6","Reactivity to noise"))))))</f>
        <v>Normal activity</v>
      </c>
      <c r="H344" s="7" t="str">
        <f>IF(F344="P1","Regular swimming, even distribution",IF(F344="P2","Fish grouped in one corner",IF(F344="P3","Rapid swimming, escape behavior",IF(F344="P4","Little movement",IF(F344="P5","Jumping out of the water",IF(F344="P6","Reaction to a tool or impact"))))))</f>
        <v>Regular swimming, even distribution</v>
      </c>
      <c r="I344" s="6"/>
    </row>
    <row r="345" spans="1:9" x14ac:dyDescent="0.35">
      <c r="A345" s="4">
        <v>46163</v>
      </c>
      <c r="B345" s="10">
        <v>0.45555555555555555</v>
      </c>
      <c r="C345" s="10">
        <v>0.4597222222222222</v>
      </c>
      <c r="D345" s="5">
        <f>C345-B345</f>
        <v>4.1666666666666519E-3</v>
      </c>
      <c r="E345" s="6" t="s">
        <v>28</v>
      </c>
      <c r="F345" s="7" t="s">
        <v>12</v>
      </c>
      <c r="G345" s="7" t="str">
        <f>IF(F345="P1","Normal activity",IF(F345="P2","Clustering / aggregation",IF(F345="P3","Agitation",IF(F345="P4","Lethargy",IF(F345="P5","Jumping / splashing",IF(F345="P6","Reactivity to noise"))))))</f>
        <v>Clustering / aggregation</v>
      </c>
      <c r="H345" s="7" t="str">
        <f>IF(F345="P1","Regular swimming, even distribution",IF(F345="P2","Fish grouped in one corner",IF(F345="P3","Rapid swimming, escape behavior",IF(F345="P4","Little movement",IF(F345="P5","Jumping out of the water",IF(F345="P6","Reaction to a tool or impact"))))))</f>
        <v>Fish grouped in one corner</v>
      </c>
      <c r="I345" s="6" t="s">
        <v>240</v>
      </c>
    </row>
    <row r="346" spans="1:9" x14ac:dyDescent="0.35">
      <c r="A346" s="4">
        <v>46163</v>
      </c>
      <c r="B346" s="10">
        <v>0.45555555555555555</v>
      </c>
      <c r="C346" s="10">
        <v>0.4597222222222222</v>
      </c>
      <c r="D346" s="5">
        <f>C346-B346</f>
        <v>4.1666666666666519E-3</v>
      </c>
      <c r="E346" s="6" t="s">
        <v>29</v>
      </c>
      <c r="F346" s="7" t="s">
        <v>9</v>
      </c>
      <c r="G346" s="7" t="str">
        <f>IF(F346="P1","Normal activity",IF(F346="P2","Clustering / aggregation",IF(F346="P3","Agitation",IF(F346="P4","Lethargy",IF(F346="P5","Jumping / splashing",IF(F346="P6","Reactivity to noise"))))))</f>
        <v>Normal activity</v>
      </c>
      <c r="H346" s="7" t="str">
        <f>IF(F346="P1","Regular swimming, even distribution",IF(F346="P2","Fish grouped in one corner",IF(F346="P3","Rapid swimming, escape behavior",IF(F346="P4","Little movement",IF(F346="P5","Jumping out of the water",IF(F346="P6","Reaction to a tool or impact"))))))</f>
        <v>Regular swimming, even distribution</v>
      </c>
      <c r="I346" s="6" t="s">
        <v>241</v>
      </c>
    </row>
    <row r="347" spans="1:9" x14ac:dyDescent="0.35">
      <c r="A347" s="4">
        <v>46163</v>
      </c>
      <c r="B347" s="10">
        <v>0.45555555555555555</v>
      </c>
      <c r="C347" s="10">
        <v>0.46250000000000002</v>
      </c>
      <c r="D347" s="5">
        <f>C347-B347</f>
        <v>6.9444444444444753E-3</v>
      </c>
      <c r="E347" s="6" t="s">
        <v>29</v>
      </c>
      <c r="F347" s="7"/>
      <c r="G347" s="7" t="b">
        <f>IF(F347="P1","Normal activity",IF(F347="P2","Clustering / aggregation",IF(F347="P3","Agitation",IF(F347="P4","Lethargy",IF(F347="P5","Jumping / splashing",IF(F347="P6","Reactivity to noise"))))))</f>
        <v>0</v>
      </c>
      <c r="H347" s="7" t="b">
        <f>IF(F347="P1","Regular swimming, even distribution",IF(F347="P2","Fish grouped in one corner",IF(F347="P3","Rapid swimming, escape behavior",IF(F347="P4","Little movement",IF(F347="P5","Jumping out of the water",IF(F347="P6","Reaction to a tool or impact"))))))</f>
        <v>0</v>
      </c>
      <c r="I347" s="6" t="s">
        <v>242</v>
      </c>
    </row>
    <row r="348" spans="1:9" x14ac:dyDescent="0.35">
      <c r="A348" s="4">
        <v>46163</v>
      </c>
      <c r="B348" s="10">
        <v>0.45555555555555555</v>
      </c>
      <c r="C348" s="10">
        <v>0.4597222222222222</v>
      </c>
      <c r="D348" s="5">
        <f>C348-B348</f>
        <v>4.1666666666666519E-3</v>
      </c>
      <c r="E348" s="6" t="s">
        <v>29</v>
      </c>
      <c r="F348" s="7" t="s">
        <v>12</v>
      </c>
      <c r="G348" s="7" t="str">
        <f>IF(F348="P1","Normal activity",IF(F348="P2","Clustering / aggregation",IF(F348="P3","Agitation",IF(F348="P4","Lethargy",IF(F348="P5","Jumping / splashing",IF(F348="P6","Reactivity to noise"))))))</f>
        <v>Clustering / aggregation</v>
      </c>
      <c r="H348" s="7" t="str">
        <f>IF(F348="P1","Regular swimming, even distribution",IF(F348="P2","Fish grouped in one corner",IF(F348="P3","Rapid swimming, escape behavior",IF(F348="P4","Little movement",IF(F348="P5","Jumping out of the water",IF(F348="P6","Reaction to a tool or impact"))))))</f>
        <v>Fish grouped in one corner</v>
      </c>
      <c r="I348" s="6" t="s">
        <v>243</v>
      </c>
    </row>
    <row r="349" spans="1:9" x14ac:dyDescent="0.35">
      <c r="A349" s="4">
        <v>46163</v>
      </c>
      <c r="B349" s="10">
        <v>0.45555555555555555</v>
      </c>
      <c r="C349" s="10">
        <v>0.4597222222222222</v>
      </c>
      <c r="D349" s="5">
        <f>C349-B349</f>
        <v>4.1666666666666519E-3</v>
      </c>
      <c r="E349" s="6" t="s">
        <v>31</v>
      </c>
      <c r="F349" s="7" t="s">
        <v>12</v>
      </c>
      <c r="G349" s="7" t="str">
        <f>IF(F349="P1","Normal activity",IF(F349="P2","Clustering / aggregation",IF(F349="P3","Agitation",IF(F349="P4","Lethargy",IF(F349="P5","Jumping / splashing",IF(F349="P6","Reactivity to noise"))))))</f>
        <v>Clustering / aggregation</v>
      </c>
      <c r="H349" s="7" t="str">
        <f>IF(F349="P1","Regular swimming, even distribution",IF(F349="P2","Fish grouped in one corner",IF(F349="P3","Rapid swimming, escape behavior",IF(F349="P4","Little movement",IF(F349="P5","Jumping out of the water",IF(F349="P6","Reaction to a tool or impact"))))))</f>
        <v>Fish grouped in one corner</v>
      </c>
      <c r="I349" s="6" t="s">
        <v>244</v>
      </c>
    </row>
    <row r="350" spans="1:9" x14ac:dyDescent="0.35">
      <c r="A350" s="4">
        <v>46163</v>
      </c>
      <c r="B350" s="10">
        <v>0.45555555555555555</v>
      </c>
      <c r="C350" s="10">
        <v>0.46388888888888891</v>
      </c>
      <c r="D350" s="5">
        <f>C350-B350</f>
        <v>8.3333333333333592E-3</v>
      </c>
      <c r="E350" s="6" t="s">
        <v>31</v>
      </c>
      <c r="F350" s="7" t="s">
        <v>12</v>
      </c>
      <c r="G350" s="7" t="str">
        <f>IF(F350="P1","Normal activity",IF(F350="P2","Clustering / aggregation",IF(F350="P3","Agitation",IF(F350="P4","Lethargy",IF(F350="P5","Jumping / splashing",IF(F350="P6","Reactivity to noise"))))))</f>
        <v>Clustering / aggregation</v>
      </c>
      <c r="H350" s="7" t="str">
        <f>IF(F350="P1","Regular swimming, even distribution",IF(F350="P2","Fish grouped in one corner",IF(F350="P3","Rapid swimming, escape behavior",IF(F350="P4","Little movement",IF(F350="P5","Jumping out of the water",IF(F350="P6","Reaction to a tool or impact"))))))</f>
        <v>Fish grouped in one corner</v>
      </c>
      <c r="I350" s="6" t="s">
        <v>245</v>
      </c>
    </row>
    <row r="351" spans="1:9" x14ac:dyDescent="0.35">
      <c r="A351" s="4">
        <v>46163</v>
      </c>
      <c r="B351" s="10">
        <v>0.51736111111111116</v>
      </c>
      <c r="C351" s="10">
        <v>0.52430555555555558</v>
      </c>
      <c r="D351" s="5">
        <f>C351-B351</f>
        <v>6.9444444444444198E-3</v>
      </c>
      <c r="E351" s="6" t="s">
        <v>27</v>
      </c>
      <c r="F351" s="7" t="s">
        <v>15</v>
      </c>
      <c r="G351" s="7" t="str">
        <f>IF(F351="P1","Normal activity",IF(F351="P2","Clustering / aggregation",IF(F351="P3","Agitation",IF(F351="P4","Lethargy",IF(F351="P5","Jumping / splashing",IF(F351="P6","Reactivity to noise"))))))</f>
        <v>Agitation</v>
      </c>
      <c r="H351" s="7" t="str">
        <f>IF(F351="P1","Regular swimming, even distribution",IF(F351="P2","Fish grouped in one corner",IF(F351="P3","Rapid swimming, escape behavior",IF(F351="P4","Little movement",IF(F351="P5","Jumping out of the water",IF(F351="P6","Reaction to a tool or impact"))))))</f>
        <v>Rapid swimming, escape behavior</v>
      </c>
      <c r="I351" s="6" t="s">
        <v>246</v>
      </c>
    </row>
    <row r="352" spans="1:9" x14ac:dyDescent="0.35">
      <c r="A352" s="4">
        <v>46163</v>
      </c>
      <c r="B352" s="10">
        <v>0.51736111111111116</v>
      </c>
      <c r="C352" s="10">
        <v>0.52430555555555558</v>
      </c>
      <c r="D352" s="5">
        <f>C352-B352</f>
        <v>6.9444444444444198E-3</v>
      </c>
      <c r="E352" s="6" t="s">
        <v>27</v>
      </c>
      <c r="F352" s="7" t="s">
        <v>9</v>
      </c>
      <c r="G352" s="7" t="str">
        <f>IF(F352="P1","Normal activity",IF(F352="P2","Clustering / aggregation",IF(F352="P3","Agitation",IF(F352="P4","Lethargy",IF(F352="P5","Jumping / splashing",IF(F352="P6","Reactivity to noise"))))))</f>
        <v>Normal activity</v>
      </c>
      <c r="H352" s="7" t="str">
        <f>IF(F352="P1","Regular swimming, even distribution",IF(F352="P2","Fish grouped in one corner",IF(F352="P3","Rapid swimming, escape behavior",IF(F352="P4","Little movement",IF(F352="P5","Jumping out of the water",IF(F352="P6","Reaction to a tool or impact"))))))</f>
        <v>Regular swimming, even distribution</v>
      </c>
      <c r="I352" s="6" t="s">
        <v>247</v>
      </c>
    </row>
    <row r="353" spans="1:9" x14ac:dyDescent="0.35">
      <c r="A353" s="4">
        <v>46163</v>
      </c>
      <c r="B353" s="10">
        <v>0.51736111111111116</v>
      </c>
      <c r="C353" s="10">
        <v>0.52430555555555558</v>
      </c>
      <c r="D353" s="5">
        <f>C353-B353</f>
        <v>6.9444444444444198E-3</v>
      </c>
      <c r="E353" s="6" t="s">
        <v>27</v>
      </c>
      <c r="F353" s="7" t="s">
        <v>12</v>
      </c>
      <c r="G353" s="7" t="str">
        <f>IF(F353="P1","Normal activity",IF(F353="P2","Clustering / aggregation",IF(F353="P3","Agitation",IF(F353="P4","Lethargy",IF(F353="P5","Jumping / splashing",IF(F353="P6","Reactivity to noise"))))))</f>
        <v>Clustering / aggregation</v>
      </c>
      <c r="H353" s="7" t="str">
        <f>IF(F353="P1","Regular swimming, even distribution",IF(F353="P2","Fish grouped in one corner",IF(F353="P3","Rapid swimming, escape behavior",IF(F353="P4","Little movement",IF(F353="P5","Jumping out of the water",IF(F353="P6","Reaction to a tool or impact"))))))</f>
        <v>Fish grouped in one corner</v>
      </c>
      <c r="I353" s="6" t="s">
        <v>248</v>
      </c>
    </row>
    <row r="354" spans="1:9" x14ac:dyDescent="0.35">
      <c r="A354" s="4">
        <v>46163</v>
      </c>
      <c r="B354" s="10">
        <v>0.51736111111111116</v>
      </c>
      <c r="C354" s="10">
        <v>0.52430555555555558</v>
      </c>
      <c r="D354" s="5">
        <f>C354-B354</f>
        <v>6.9444444444444198E-3</v>
      </c>
      <c r="E354" s="6" t="s">
        <v>28</v>
      </c>
      <c r="F354" s="7" t="s">
        <v>12</v>
      </c>
      <c r="G354" s="7" t="str">
        <f>IF(F354="P1","Normal activity",IF(F354="P2","Clustering / aggregation",IF(F354="P3","Agitation",IF(F354="P4","Lethargy",IF(F354="P5","Jumping / splashing",IF(F354="P6","Reactivity to noise"))))))</f>
        <v>Clustering / aggregation</v>
      </c>
      <c r="H354" s="7" t="str">
        <f>IF(F354="P1","Regular swimming, even distribution",IF(F354="P2","Fish grouped in one corner",IF(F354="P3","Rapid swimming, escape behavior",IF(F354="P4","Little movement",IF(F354="P5","Jumping out of the water",IF(F354="P6","Reaction to a tool or impact"))))))</f>
        <v>Fish grouped in one corner</v>
      </c>
      <c r="I354" s="6" t="s">
        <v>249</v>
      </c>
    </row>
    <row r="355" spans="1:9" x14ac:dyDescent="0.35">
      <c r="A355" s="4">
        <v>46163</v>
      </c>
      <c r="B355" s="10">
        <v>0.51736111111111116</v>
      </c>
      <c r="C355" s="10">
        <v>0.52430555555555558</v>
      </c>
      <c r="D355" s="5">
        <f>C355-B355</f>
        <v>6.9444444444444198E-3</v>
      </c>
      <c r="E355" s="6" t="s">
        <v>29</v>
      </c>
      <c r="F355" s="7" t="s">
        <v>9</v>
      </c>
      <c r="G355" s="7" t="str">
        <f>IF(F355="P1","Normal activity",IF(F355="P2","Clustering / aggregation",IF(F355="P3","Agitation",IF(F355="P4","Lethargy",IF(F355="P5","Jumping / splashing",IF(F355="P6","Reactivity to noise"))))))</f>
        <v>Normal activity</v>
      </c>
      <c r="H355" s="7" t="str">
        <f>IF(F355="P1","Regular swimming, even distribution",IF(F355="P2","Fish grouped in one corner",IF(F355="P3","Rapid swimming, escape behavior",IF(F355="P4","Little movement",IF(F355="P5","Jumping out of the water",IF(F355="P6","Reaction to a tool or impact"))))))</f>
        <v>Regular swimming, even distribution</v>
      </c>
      <c r="I355" s="6" t="s">
        <v>250</v>
      </c>
    </row>
    <row r="356" spans="1:9" x14ac:dyDescent="0.35">
      <c r="A356" s="4">
        <v>46163</v>
      </c>
      <c r="B356" s="10">
        <v>0.51736111111111116</v>
      </c>
      <c r="C356" s="10">
        <v>0.52430555555555558</v>
      </c>
      <c r="D356" s="5">
        <f>C356-B356</f>
        <v>6.9444444444444198E-3</v>
      </c>
      <c r="E356" s="6" t="s">
        <v>31</v>
      </c>
      <c r="F356" s="7" t="s">
        <v>12</v>
      </c>
      <c r="G356" s="7" t="str">
        <f>IF(F356="P1","Normal activity",IF(F356="P2","Clustering / aggregation",IF(F356="P3","Agitation",IF(F356="P4","Lethargy",IF(F356="P5","Jumping / splashing",IF(F356="P6","Reactivity to noise"))))))</f>
        <v>Clustering / aggregation</v>
      </c>
      <c r="H356" s="7" t="str">
        <f>IF(F356="P1","Regular swimming, even distribution",IF(F356="P2","Fish grouped in one corner",IF(F356="P3","Rapid swimming, escape behavior",IF(F356="P4","Little movement",IF(F356="P5","Jumping out of the water",IF(F356="P6","Reaction to a tool or impact"))))))</f>
        <v>Fish grouped in one corner</v>
      </c>
      <c r="I356" s="6" t="s">
        <v>251</v>
      </c>
    </row>
    <row r="357" spans="1:9" x14ac:dyDescent="0.35">
      <c r="A357" s="4">
        <v>46163</v>
      </c>
      <c r="B357" s="10">
        <v>0.51736111111111116</v>
      </c>
      <c r="C357" s="10">
        <v>0.52430555555555558</v>
      </c>
      <c r="D357" s="5">
        <f>C357-B357</f>
        <v>6.9444444444444198E-3</v>
      </c>
      <c r="E357" s="6" t="s">
        <v>31</v>
      </c>
      <c r="F357" s="7" t="s">
        <v>15</v>
      </c>
      <c r="G357" s="7" t="str">
        <f>IF(F357="P1","Normal activity",IF(F357="P2","Clustering / aggregation",IF(F357="P3","Agitation",IF(F357="P4","Lethargy",IF(F357="P5","Jumping / splashing",IF(F357="P6","Reactivity to noise"))))))</f>
        <v>Agitation</v>
      </c>
      <c r="H357" s="7" t="str">
        <f>IF(F357="P1","Regular swimming, even distribution",IF(F357="P2","Fish grouped in one corner",IF(F357="P3","Rapid swimming, escape behavior",IF(F357="P4","Little movement",IF(F357="P5","Jumping out of the water",IF(F357="P6","Reaction to a tool or impact"))))))</f>
        <v>Rapid swimming, escape behavior</v>
      </c>
      <c r="I357" s="6" t="s">
        <v>252</v>
      </c>
    </row>
    <row r="358" spans="1:9" x14ac:dyDescent="0.35">
      <c r="A358" s="4">
        <v>46163</v>
      </c>
      <c r="B358" s="10">
        <v>0.52430555555555558</v>
      </c>
      <c r="C358" s="10">
        <v>0.52847222222222223</v>
      </c>
      <c r="D358" s="5">
        <f>C358-B358</f>
        <v>4.1666666666666519E-3</v>
      </c>
      <c r="E358" s="6"/>
      <c r="F358" s="7"/>
      <c r="G358" s="7" t="b">
        <f>IF(F358="P1","Normal activity",IF(F358="P2","Clustering / aggregation",IF(F358="P3","Agitation",IF(F358="P4","Lethargy",IF(F358="P5","Jumping / splashing",IF(F358="P6","Reactivity to noise"))))))</f>
        <v>0</v>
      </c>
      <c r="H358" s="7" t="b">
        <f>IF(F358="P1","Regular swimming, even distribution",IF(F358="P2","Fish grouped in one corner",IF(F358="P3","Rapid swimming, escape behavior",IF(F358="P4","Little movement",IF(F358="P5","Jumping out of the water",IF(F358="P6","Reaction to a tool or impact"))))))</f>
        <v>0</v>
      </c>
      <c r="I358" s="6" t="s">
        <v>253</v>
      </c>
    </row>
    <row r="359" spans="1:9" x14ac:dyDescent="0.35">
      <c r="A359" s="4">
        <v>46163</v>
      </c>
      <c r="B359" s="10">
        <v>0.52916666666666667</v>
      </c>
      <c r="C359" s="10">
        <v>0.53611111111111109</v>
      </c>
      <c r="D359" s="5">
        <f>C359-B359</f>
        <v>6.9444444444444198E-3</v>
      </c>
      <c r="E359" s="6" t="s">
        <v>27</v>
      </c>
      <c r="F359" s="7" t="s">
        <v>15</v>
      </c>
      <c r="G359" s="7" t="str">
        <f>IF(F359="P1","Normal activity",IF(F359="P2","Clustering / aggregation",IF(F359="P3","Agitation",IF(F359="P4","Lethargy",IF(F359="P5","Jumping / splashing",IF(F359="P6","Reactivity to noise"))))))</f>
        <v>Agitation</v>
      </c>
      <c r="H359" s="7" t="str">
        <f>IF(F359="P1","Regular swimming, even distribution",IF(F359="P2","Fish grouped in one corner",IF(F359="P3","Rapid swimming, escape behavior",IF(F359="P4","Little movement",IF(F359="P5","Jumping out of the water",IF(F359="P6","Reaction to a tool or impact"))))))</f>
        <v>Rapid swimming, escape behavior</v>
      </c>
      <c r="I359" s="6" t="s">
        <v>254</v>
      </c>
    </row>
    <row r="360" spans="1:9" x14ac:dyDescent="0.35">
      <c r="A360" s="4">
        <v>46163</v>
      </c>
      <c r="B360" s="10">
        <v>0.52916666666666667</v>
      </c>
      <c r="C360" s="10">
        <v>0.53611111111111109</v>
      </c>
      <c r="D360" s="5">
        <f>C360-B360</f>
        <v>6.9444444444444198E-3</v>
      </c>
      <c r="E360" s="6" t="s">
        <v>28</v>
      </c>
      <c r="F360" s="7" t="s">
        <v>12</v>
      </c>
      <c r="G360" s="7" t="str">
        <f>IF(F360="P1","Normal activity",IF(F360="P2","Clustering / aggregation",IF(F360="P3","Agitation",IF(F360="P4","Lethargy",IF(F360="P5","Jumping / splashing",IF(F360="P6","Reactivity to noise"))))))</f>
        <v>Clustering / aggregation</v>
      </c>
      <c r="H360" s="7" t="str">
        <f>IF(F360="P1","Regular swimming, even distribution",IF(F360="P2","Fish grouped in one corner",IF(F360="P3","Rapid swimming, escape behavior",IF(F360="P4","Little movement",IF(F360="P5","Jumping out of the water",IF(F360="P6","Reaction to a tool or impact"))))))</f>
        <v>Fish grouped in one corner</v>
      </c>
      <c r="I360" s="6" t="s">
        <v>255</v>
      </c>
    </row>
    <row r="361" spans="1:9" x14ac:dyDescent="0.35">
      <c r="A361" s="4">
        <v>46163</v>
      </c>
      <c r="B361" s="10">
        <v>0.52916666666666667</v>
      </c>
      <c r="C361" s="10">
        <v>0.53611111111111109</v>
      </c>
      <c r="D361" s="5">
        <f>C361-B361</f>
        <v>6.9444444444444198E-3</v>
      </c>
      <c r="E361" s="6" t="s">
        <v>28</v>
      </c>
      <c r="F361" s="7" t="s">
        <v>9</v>
      </c>
      <c r="G361" s="7" t="str">
        <f>IF(F361="P1","Normal activity",IF(F361="P2","Clustering / aggregation",IF(F361="P3","Agitation",IF(F361="P4","Lethargy",IF(F361="P5","Jumping / splashing",IF(F361="P6","Reactivity to noise"))))))</f>
        <v>Normal activity</v>
      </c>
      <c r="H361" s="7" t="str">
        <f>IF(F361="P1","Regular swimming, even distribution",IF(F361="P2","Fish grouped in one corner",IF(F361="P3","Rapid swimming, escape behavior",IF(F361="P4","Little movement",IF(F361="P5","Jumping out of the water",IF(F361="P6","Reaction to a tool or impact"))))))</f>
        <v>Regular swimming, even distribution</v>
      </c>
      <c r="I361" s="6" t="s">
        <v>256</v>
      </c>
    </row>
    <row r="362" spans="1:9" x14ac:dyDescent="0.35">
      <c r="A362" s="4">
        <v>46163</v>
      </c>
      <c r="B362" s="10">
        <v>0.52916666666666667</v>
      </c>
      <c r="C362" s="10">
        <v>0.53611111111111109</v>
      </c>
      <c r="D362" s="5">
        <f>C362-B362</f>
        <v>6.9444444444444198E-3</v>
      </c>
      <c r="E362" s="6" t="s">
        <v>29</v>
      </c>
      <c r="F362" s="7" t="s">
        <v>12</v>
      </c>
      <c r="G362" s="7" t="str">
        <f>IF(F362="P1","Normal activity",IF(F362="P2","Clustering / aggregation",IF(F362="P3","Agitation",IF(F362="P4","Lethargy",IF(F362="P5","Jumping / splashing",IF(F362="P6","Reactivity to noise"))))))</f>
        <v>Clustering / aggregation</v>
      </c>
      <c r="H362" s="7" t="str">
        <f>IF(F362="P1","Regular swimming, even distribution",IF(F362="P2","Fish grouped in one corner",IF(F362="P3","Rapid swimming, escape behavior",IF(F362="P4","Little movement",IF(F362="P5","Jumping out of the water",IF(F362="P6","Reaction to a tool or impact"))))))</f>
        <v>Fish grouped in one corner</v>
      </c>
      <c r="I362" s="6" t="s">
        <v>257</v>
      </c>
    </row>
    <row r="363" spans="1:9" x14ac:dyDescent="0.35">
      <c r="A363" s="4">
        <v>46163</v>
      </c>
      <c r="B363" s="10">
        <v>0.52916666666666667</v>
      </c>
      <c r="C363" s="10">
        <v>0.53611111111111109</v>
      </c>
      <c r="D363" s="5">
        <f>C363-B363</f>
        <v>6.9444444444444198E-3</v>
      </c>
      <c r="E363" s="6" t="s">
        <v>29</v>
      </c>
      <c r="F363" s="7" t="s">
        <v>9</v>
      </c>
      <c r="G363" s="7" t="str">
        <f>IF(F363="P1","Normal activity",IF(F363="P2","Clustering / aggregation",IF(F363="P3","Agitation",IF(F363="P4","Lethargy",IF(F363="P5","Jumping / splashing",IF(F363="P6","Reactivity to noise"))))))</f>
        <v>Normal activity</v>
      </c>
      <c r="H363" s="7" t="str">
        <f>IF(F363="P1","Regular swimming, even distribution",IF(F363="P2","Fish grouped in one corner",IF(F363="P3","Rapid swimming, escape behavior",IF(F363="P4","Little movement",IF(F363="P5","Jumping out of the water",IF(F363="P6","Reaction to a tool or impact"))))))</f>
        <v>Regular swimming, even distribution</v>
      </c>
      <c r="I363" s="6" t="s">
        <v>258</v>
      </c>
    </row>
    <row r="364" spans="1:9" x14ac:dyDescent="0.35">
      <c r="A364" s="4">
        <v>46163</v>
      </c>
      <c r="B364" s="10">
        <v>0.52916666666666667</v>
      </c>
      <c r="C364" s="10">
        <v>0.53611111111111109</v>
      </c>
      <c r="D364" s="5">
        <f>C364-B364</f>
        <v>6.9444444444444198E-3</v>
      </c>
      <c r="E364" s="6" t="s">
        <v>31</v>
      </c>
      <c r="F364" s="7" t="s">
        <v>12</v>
      </c>
      <c r="G364" s="7" t="str">
        <f>IF(F364="P1","Normal activity",IF(F364="P2","Clustering / aggregation",IF(F364="P3","Agitation",IF(F364="P4","Lethargy",IF(F364="P5","Jumping / splashing",IF(F364="P6","Reactivity to noise"))))))</f>
        <v>Clustering / aggregation</v>
      </c>
      <c r="H364" s="7" t="str">
        <f>IF(F364="P1","Regular swimming, even distribution",IF(F364="P2","Fish grouped in one corner",IF(F364="P3","Rapid swimming, escape behavior",IF(F364="P4","Little movement",IF(F364="P5","Jumping out of the water",IF(F364="P6","Reaction to a tool or impact"))))))</f>
        <v>Fish grouped in one corner</v>
      </c>
      <c r="I364" s="6" t="s">
        <v>259</v>
      </c>
    </row>
    <row r="365" spans="1:9" x14ac:dyDescent="0.35">
      <c r="A365" s="4">
        <v>46163</v>
      </c>
      <c r="B365" s="10">
        <v>0.58680555555555558</v>
      </c>
      <c r="C365" s="10">
        <v>0.59375</v>
      </c>
      <c r="D365" s="5">
        <f>C365-B365</f>
        <v>6.9444444444444198E-3</v>
      </c>
      <c r="E365" s="6" t="s">
        <v>27</v>
      </c>
      <c r="F365" s="7" t="s">
        <v>9</v>
      </c>
      <c r="G365" s="7" t="str">
        <f>IF(F365="P1","Normal activity",IF(F365="P2","Clustering / aggregation",IF(F365="P3","Agitation",IF(F365="P4","Lethargy",IF(F365="P5","Jumping / splashing",IF(F365="P6","Reactivity to noise"))))))</f>
        <v>Normal activity</v>
      </c>
      <c r="H365" s="7" t="str">
        <f>IF(F365="P1","Regular swimming, even distribution",IF(F365="P2","Fish grouped in one corner",IF(F365="P3","Rapid swimming, escape behavior",IF(F365="P4","Little movement",IF(F365="P5","Jumping out of the water",IF(F365="P6","Reaction to a tool or impact"))))))</f>
        <v>Regular swimming, even distribution</v>
      </c>
      <c r="I365" s="6" t="s">
        <v>247</v>
      </c>
    </row>
    <row r="366" spans="1:9" x14ac:dyDescent="0.35">
      <c r="A366" s="4">
        <v>46163</v>
      </c>
      <c r="B366" s="10">
        <v>0.58680555555555558</v>
      </c>
      <c r="C366" s="10">
        <v>0.59375</v>
      </c>
      <c r="D366" s="5">
        <f>C366-B366</f>
        <v>6.9444444444444198E-3</v>
      </c>
      <c r="E366" s="6" t="s">
        <v>28</v>
      </c>
      <c r="F366" s="7" t="s">
        <v>12</v>
      </c>
      <c r="G366" s="7" t="str">
        <f>IF(F366="P1","Normal activity",IF(F366="P2","Clustering / aggregation",IF(F366="P3","Agitation",IF(F366="P4","Lethargy",IF(F366="P5","Jumping / splashing",IF(F366="P6","Reactivity to noise"))))))</f>
        <v>Clustering / aggregation</v>
      </c>
      <c r="H366" s="7" t="str">
        <f>IF(F366="P1","Regular swimming, even distribution",IF(F366="P2","Fish grouped in one corner",IF(F366="P3","Rapid swimming, escape behavior",IF(F366="P4","Little movement",IF(F366="P5","Jumping out of the water",IF(F366="P6","Reaction to a tool or impact"))))))</f>
        <v>Fish grouped in one corner</v>
      </c>
      <c r="I366" s="6" t="s">
        <v>260</v>
      </c>
    </row>
    <row r="367" spans="1:9" x14ac:dyDescent="0.35">
      <c r="A367" s="4">
        <v>46163</v>
      </c>
      <c r="B367" s="10">
        <v>0.58680555555555558</v>
      </c>
      <c r="C367" s="10">
        <v>0.59375</v>
      </c>
      <c r="D367" s="5">
        <f>C367-B367</f>
        <v>6.9444444444444198E-3</v>
      </c>
      <c r="E367" s="6" t="s">
        <v>29</v>
      </c>
      <c r="F367" s="7" t="s">
        <v>9</v>
      </c>
      <c r="G367" s="7" t="str">
        <f>IF(F367="P1","Normal activity",IF(F367="P2","Clustering / aggregation",IF(F367="P3","Agitation",IF(F367="P4","Lethargy",IF(F367="P5","Jumping / splashing",IF(F367="P6","Reactivity to noise"))))))</f>
        <v>Normal activity</v>
      </c>
      <c r="H367" s="7" t="str">
        <f>IF(F367="P1","Regular swimming, even distribution",IF(F367="P2","Fish grouped in one corner",IF(F367="P3","Rapid swimming, escape behavior",IF(F367="P4","Little movement",IF(F367="P5","Jumping out of the water",IF(F367="P6","Reaction to a tool or impact"))))))</f>
        <v>Regular swimming, even distribution</v>
      </c>
      <c r="I367" s="6" t="s">
        <v>261</v>
      </c>
    </row>
    <row r="368" spans="1:9" x14ac:dyDescent="0.35">
      <c r="A368" s="4">
        <v>46163</v>
      </c>
      <c r="B368" s="10">
        <v>0.58680555555555558</v>
      </c>
      <c r="C368" s="10">
        <v>0.59375</v>
      </c>
      <c r="D368" s="5">
        <f>C368-B368</f>
        <v>6.9444444444444198E-3</v>
      </c>
      <c r="E368" s="6" t="s">
        <v>31</v>
      </c>
      <c r="F368" s="7" t="s">
        <v>12</v>
      </c>
      <c r="G368" s="7" t="str">
        <f>IF(F368="P1","Normal activity",IF(F368="P2","Clustering / aggregation",IF(F368="P3","Agitation",IF(F368="P4","Lethargy",IF(F368="P5","Jumping / splashing",IF(F368="P6","Reactivity to noise"))))))</f>
        <v>Clustering / aggregation</v>
      </c>
      <c r="H368" s="7" t="str">
        <f>IF(F368="P1","Regular swimming, even distribution",IF(F368="P2","Fish grouped in one corner",IF(F368="P3","Rapid swimming, escape behavior",IF(F368="P4","Little movement",IF(F368="P5","Jumping out of the water",IF(F368="P6","Reaction to a tool or impact"))))))</f>
        <v>Fish grouped in one corner</v>
      </c>
      <c r="I368" s="6" t="s">
        <v>262</v>
      </c>
    </row>
    <row r="369" spans="1:9" x14ac:dyDescent="0.35">
      <c r="A369" s="4">
        <v>46163</v>
      </c>
      <c r="B369" s="10">
        <v>0.59375</v>
      </c>
      <c r="C369" s="10">
        <v>0.59722222222222221</v>
      </c>
      <c r="D369" s="5">
        <f>C369-B369</f>
        <v>3.4722222222222099E-3</v>
      </c>
      <c r="E369" s="6"/>
      <c r="F369" s="7"/>
      <c r="G369" s="7" t="b">
        <f>IF(F369="P1","Normal activity",IF(F369="P2","Clustering / aggregation",IF(F369="P3","Agitation",IF(F369="P4","Lethargy",IF(F369="P5","Jumping / splashing",IF(F369="P6","Reactivity to noise"))))))</f>
        <v>0</v>
      </c>
      <c r="H369" s="7" t="b">
        <f>IF(F369="P1","Regular swimming, even distribution",IF(F369="P2","Fish grouped in one corner",IF(F369="P3","Rapid swimming, escape behavior",IF(F369="P4","Little movement",IF(F369="P5","Jumping out of the water",IF(F369="P6","Reaction to a tool or impact"))))))</f>
        <v>0</v>
      </c>
      <c r="I369" s="6" t="s">
        <v>263</v>
      </c>
    </row>
    <row r="370" spans="1:9" x14ac:dyDescent="0.35">
      <c r="A370" s="4">
        <v>46163</v>
      </c>
      <c r="B370" s="10">
        <v>0.59791666666666665</v>
      </c>
      <c r="C370" s="10">
        <v>0.60486111111111107</v>
      </c>
      <c r="D370" s="5">
        <f>C370-B370</f>
        <v>6.9444444444444198E-3</v>
      </c>
      <c r="E370" s="6" t="s">
        <v>27</v>
      </c>
      <c r="F370" s="7" t="s">
        <v>9</v>
      </c>
      <c r="G370" s="7" t="str">
        <f>IF(F370="P1","Normal activity",IF(F370="P2","Clustering / aggregation",IF(F370="P3","Agitation",IF(F370="P4","Lethargy",IF(F370="P5","Jumping / splashing",IF(F370="P6","Reactivity to noise"))))))</f>
        <v>Normal activity</v>
      </c>
      <c r="H370" s="7" t="str">
        <f>IF(F370="P1","Regular swimming, even distribution",IF(F370="P2","Fish grouped in one corner",IF(F370="P3","Rapid swimming, escape behavior",IF(F370="P4","Little movement",IF(F370="P5","Jumping out of the water",IF(F370="P6","Reaction to a tool or impact"))))))</f>
        <v>Regular swimming, even distribution</v>
      </c>
      <c r="I370" s="6" t="s">
        <v>264</v>
      </c>
    </row>
    <row r="371" spans="1:9" x14ac:dyDescent="0.35">
      <c r="A371" s="4">
        <v>46163</v>
      </c>
      <c r="B371" s="10">
        <v>0.59791666666666665</v>
      </c>
      <c r="C371" s="10">
        <v>0.60486111111111107</v>
      </c>
      <c r="D371" s="5">
        <f>C371-B371</f>
        <v>6.9444444444444198E-3</v>
      </c>
      <c r="E371" s="6" t="s">
        <v>28</v>
      </c>
      <c r="F371" s="7" t="s">
        <v>12</v>
      </c>
      <c r="G371" s="7" t="str">
        <f>IF(F371="P1","Normal activity",IF(F371="P2","Clustering / aggregation",IF(F371="P3","Agitation",IF(F371="P4","Lethargy",IF(F371="P5","Jumping / splashing",IF(F371="P6","Reactivity to noise"))))))</f>
        <v>Clustering / aggregation</v>
      </c>
      <c r="H371" s="7" t="str">
        <f>IF(F371="P1","Regular swimming, even distribution",IF(F371="P2","Fish grouped in one corner",IF(F371="P3","Rapid swimming, escape behavior",IF(F371="P4","Little movement",IF(F371="P5","Jumping out of the water",IF(F371="P6","Reaction to a tool or impact"))))))</f>
        <v>Fish grouped in one corner</v>
      </c>
      <c r="I371" s="6" t="s">
        <v>265</v>
      </c>
    </row>
    <row r="372" spans="1:9" x14ac:dyDescent="0.35">
      <c r="A372" s="4">
        <v>46163</v>
      </c>
      <c r="B372" s="10">
        <v>0.59791666666666665</v>
      </c>
      <c r="C372" s="10">
        <v>0.60486111111111107</v>
      </c>
      <c r="D372" s="5">
        <f>C372-B372</f>
        <v>6.9444444444444198E-3</v>
      </c>
      <c r="E372" s="6" t="s">
        <v>28</v>
      </c>
      <c r="F372" s="7" t="s">
        <v>9</v>
      </c>
      <c r="G372" s="7" t="str">
        <f>IF(F372="P1","Normal activity",IF(F372="P2","Clustering / aggregation",IF(F372="P3","Agitation",IF(F372="P4","Lethargy",IF(F372="P5","Jumping / splashing",IF(F372="P6","Reactivity to noise"))))))</f>
        <v>Normal activity</v>
      </c>
      <c r="H372" s="7" t="str">
        <f>IF(F372="P1","Regular swimming, even distribution",IF(F372="P2","Fish grouped in one corner",IF(F372="P3","Rapid swimming, escape behavior",IF(F372="P4","Little movement",IF(F372="P5","Jumping out of the water",IF(F372="P6","Reaction to a tool or impact"))))))</f>
        <v>Regular swimming, even distribution</v>
      </c>
      <c r="I372" s="6" t="s">
        <v>266</v>
      </c>
    </row>
    <row r="373" spans="1:9" x14ac:dyDescent="0.35">
      <c r="A373" s="4">
        <v>46163</v>
      </c>
      <c r="B373" s="10">
        <v>0.59791666666666665</v>
      </c>
      <c r="C373" s="10">
        <v>0.60486111111111107</v>
      </c>
      <c r="D373" s="5">
        <f>C373-B373</f>
        <v>6.9444444444444198E-3</v>
      </c>
      <c r="E373" s="6" t="s">
        <v>29</v>
      </c>
      <c r="F373" s="7" t="s">
        <v>9</v>
      </c>
      <c r="G373" s="7" t="str">
        <f>IF(F373="P1","Normal activity",IF(F373="P2","Clustering / aggregation",IF(F373="P3","Agitation",IF(F373="P4","Lethargy",IF(F373="P5","Jumping / splashing",IF(F373="P6","Reactivity to noise"))))))</f>
        <v>Normal activity</v>
      </c>
      <c r="H373" s="7" t="str">
        <f>IF(F373="P1","Regular swimming, even distribution",IF(F373="P2","Fish grouped in one corner",IF(F373="P3","Rapid swimming, escape behavior",IF(F373="P4","Little movement",IF(F373="P5","Jumping out of the water",IF(F373="P6","Reaction to a tool or impact"))))))</f>
        <v>Regular swimming, even distribution</v>
      </c>
      <c r="I373" s="6" t="s">
        <v>267</v>
      </c>
    </row>
    <row r="374" spans="1:9" x14ac:dyDescent="0.35">
      <c r="A374" s="4">
        <v>46163</v>
      </c>
      <c r="B374" s="10">
        <v>0.59791666666666665</v>
      </c>
      <c r="C374" s="10">
        <v>0.60486111111111107</v>
      </c>
      <c r="D374" s="5">
        <f>C374-B374</f>
        <v>6.9444444444444198E-3</v>
      </c>
      <c r="E374" s="6" t="s">
        <v>29</v>
      </c>
      <c r="F374" s="7" t="s">
        <v>15</v>
      </c>
      <c r="G374" s="7" t="str">
        <f>IF(F374="P1","Normal activity",IF(F374="P2","Clustering / aggregation",IF(F374="P3","Agitation",IF(F374="P4","Lethargy",IF(F374="P5","Jumping / splashing",IF(F374="P6","Reactivity to noise"))))))</f>
        <v>Agitation</v>
      </c>
      <c r="H374" s="7" t="str">
        <f>IF(F374="P1","Regular swimming, even distribution",IF(F374="P2","Fish grouped in one corner",IF(F374="P3","Rapid swimming, escape behavior",IF(F374="P4","Little movement",IF(F374="P5","Jumping out of the water",IF(F374="P6","Reaction to a tool or impact"))))))</f>
        <v>Rapid swimming, escape behavior</v>
      </c>
      <c r="I374" s="6" t="s">
        <v>268</v>
      </c>
    </row>
    <row r="375" spans="1:9" x14ac:dyDescent="0.35">
      <c r="A375" s="4">
        <v>46163</v>
      </c>
      <c r="B375" s="10">
        <v>0.59791666666666665</v>
      </c>
      <c r="C375" s="10">
        <v>0.60486111111111107</v>
      </c>
      <c r="D375" s="5">
        <f>C375-B375</f>
        <v>6.9444444444444198E-3</v>
      </c>
      <c r="E375" s="6" t="s">
        <v>31</v>
      </c>
      <c r="F375" s="7" t="s">
        <v>15</v>
      </c>
      <c r="G375" s="7" t="str">
        <f>IF(F375="P1","Normal activity",IF(F375="P2","Clustering / aggregation",IF(F375="P3","Agitation",IF(F375="P4","Lethargy",IF(F375="P5","Jumping / splashing",IF(F375="P6","Reactivity to noise"))))))</f>
        <v>Agitation</v>
      </c>
      <c r="H375" s="7" t="str">
        <f>IF(F375="P1","Regular swimming, even distribution",IF(F375="P2","Fish grouped in one corner",IF(F375="P3","Rapid swimming, escape behavior",IF(F375="P4","Little movement",IF(F375="P5","Jumping out of the water",IF(F375="P6","Reaction to a tool or impact"))))))</f>
        <v>Rapid swimming, escape behavior</v>
      </c>
      <c r="I375" s="6" t="s">
        <v>269</v>
      </c>
    </row>
    <row r="376" spans="1:9" x14ac:dyDescent="0.35">
      <c r="A376" s="4">
        <v>46163</v>
      </c>
      <c r="B376" s="10">
        <v>0.59791666666666665</v>
      </c>
      <c r="C376" s="10">
        <v>0.60486111111111107</v>
      </c>
      <c r="D376" s="5">
        <f>C376-B376</f>
        <v>6.9444444444444198E-3</v>
      </c>
      <c r="E376" s="6" t="s">
        <v>31</v>
      </c>
      <c r="F376" s="7" t="s">
        <v>12</v>
      </c>
      <c r="G376" s="7" t="str">
        <f>IF(F376="P1","Normal activity",IF(F376="P2","Clustering / aggregation",IF(F376="P3","Agitation",IF(F376="P4","Lethargy",IF(F376="P5","Jumping / splashing",IF(F376="P6","Reactivity to noise"))))))</f>
        <v>Clustering / aggregation</v>
      </c>
      <c r="H376" s="7" t="str">
        <f>IF(F376="P1","Regular swimming, even distribution",IF(F376="P2","Fish grouped in one corner",IF(F376="P3","Rapid swimming, escape behavior",IF(F376="P4","Little movement",IF(F376="P5","Jumping out of the water",IF(F376="P6","Reaction to a tool or impact"))))))</f>
        <v>Fish grouped in one corner</v>
      </c>
      <c r="I376" s="6" t="s">
        <v>270</v>
      </c>
    </row>
    <row r="377" spans="1:9" x14ac:dyDescent="0.35">
      <c r="A377" s="4">
        <v>46163</v>
      </c>
      <c r="B377" s="10">
        <v>0.59791666666666665</v>
      </c>
      <c r="C377" s="10">
        <v>0.60486111111111107</v>
      </c>
      <c r="D377" s="5">
        <f>C377-B377</f>
        <v>6.9444444444444198E-3</v>
      </c>
      <c r="E377" s="6" t="s">
        <v>31</v>
      </c>
      <c r="F377" s="7" t="s">
        <v>9</v>
      </c>
      <c r="G377" s="7" t="str">
        <f>IF(F377="P1","Normal activity",IF(F377="P2","Clustering / aggregation",IF(F377="P3","Agitation",IF(F377="P4","Lethargy",IF(F377="P5","Jumping / splashing",IF(F377="P6","Reactivity to noise"))))))</f>
        <v>Normal activity</v>
      </c>
      <c r="H377" s="7" t="str">
        <f>IF(F377="P1","Regular swimming, even distribution",IF(F377="P2","Fish grouped in one corner",IF(F377="P3","Rapid swimming, escape behavior",IF(F377="P4","Little movement",IF(F377="P5","Jumping out of the water",IF(F377="P6","Reaction to a tool or impact"))))))</f>
        <v>Regular swimming, even distribution</v>
      </c>
      <c r="I377" s="6" t="s">
        <v>271</v>
      </c>
    </row>
    <row r="378" spans="1:9" x14ac:dyDescent="0.35">
      <c r="A378" s="4">
        <v>46171</v>
      </c>
      <c r="B378" s="10">
        <v>0.36805555555555558</v>
      </c>
      <c r="C378" s="10">
        <v>0.36944444444444446</v>
      </c>
      <c r="D378" s="5">
        <f>C378-B378</f>
        <v>1.388888888888884E-3</v>
      </c>
      <c r="E378" s="6" t="s">
        <v>27</v>
      </c>
      <c r="F378" s="7" t="s">
        <v>9</v>
      </c>
      <c r="G378" s="7" t="str">
        <f>IF(F378="P1","Normal activity",IF(F378="P2","Clustering / aggregation",IF(F378="P3","Agitation",IF(F378="P4","Lethargy",IF(F378="P5","Jumping / splashing",IF(F378="P6","Reactivity to noise"))))))</f>
        <v>Normal activity</v>
      </c>
      <c r="H378" s="7" t="str">
        <f>IF(F378="P1","Regular swimming, even distribution",IF(F378="P2","Fish grouped in one corner",IF(F378="P3","Rapid swimming, escape behavior",IF(F378="P4","Little movement",IF(F378="P5","Jumping out of the water",IF(F378="P6","Reaction to a tool or impact"))))))</f>
        <v>Regular swimming, even distribution</v>
      </c>
      <c r="I378" s="6"/>
    </row>
    <row r="379" spans="1:9" x14ac:dyDescent="0.35">
      <c r="A379" s="4">
        <v>46171</v>
      </c>
      <c r="B379" s="10">
        <v>0.36944444444444446</v>
      </c>
      <c r="C379" s="10">
        <v>0.37083333333333335</v>
      </c>
      <c r="D379" s="5">
        <f>C379-B379</f>
        <v>1.388888888888884E-3</v>
      </c>
      <c r="E379" s="6" t="s">
        <v>272</v>
      </c>
      <c r="F379" s="7" t="s">
        <v>12</v>
      </c>
      <c r="G379" s="7" t="str">
        <f>IF(F379="P1","Normal activity",IF(F379="P2","Clustering / aggregation",IF(F379="P3","Agitation",IF(F379="P4","Lethargy",IF(F379="P5","Jumping / splashing",IF(F379="P6","Reactivity to noise"))))))</f>
        <v>Clustering / aggregation</v>
      </c>
      <c r="H379" s="7" t="str">
        <f>IF(F379="P1","Regular swimming, even distribution",IF(F379="P2","Fish grouped in one corner",IF(F379="P3","Rapid swimming, escape behavior",IF(F379="P4","Little movement",IF(F379="P5","Jumping out of the water",IF(F379="P6","Reaction to a tool or impact"))))))</f>
        <v>Fish grouped in one corner</v>
      </c>
      <c r="I379" s="6" t="s">
        <v>273</v>
      </c>
    </row>
    <row r="380" spans="1:9" x14ac:dyDescent="0.35">
      <c r="A380" s="4">
        <v>46171</v>
      </c>
      <c r="B380" s="10">
        <v>0.36944444444444446</v>
      </c>
      <c r="C380" s="10">
        <v>0.37083333333333335</v>
      </c>
      <c r="D380" s="5">
        <f>C380-B380</f>
        <v>1.388888888888884E-3</v>
      </c>
      <c r="E380" s="6" t="s">
        <v>28</v>
      </c>
      <c r="F380" s="7" t="s">
        <v>15</v>
      </c>
      <c r="G380" s="7" t="str">
        <f>IF(F380="P1","Normal activity",IF(F380="P2","Clustering / aggregation",IF(F380="P3","Agitation",IF(F380="P4","Lethargy",IF(F380="P5","Jumping / splashing",IF(F380="P6","Reactivity to noise"))))))</f>
        <v>Agitation</v>
      </c>
      <c r="H380" s="7" t="str">
        <f>IF(F380="P1","Regular swimming, even distribution",IF(F380="P2","Fish grouped in one corner",IF(F380="P3","Rapid swimming, escape behavior",IF(F380="P4","Little movement",IF(F380="P5","Jumping out of the water",IF(F380="P6","Reaction to a tool or impact"))))))</f>
        <v>Rapid swimming, escape behavior</v>
      </c>
      <c r="I380" s="6" t="s">
        <v>120</v>
      </c>
    </row>
    <row r="381" spans="1:9" x14ac:dyDescent="0.35">
      <c r="A381" s="4">
        <v>46171</v>
      </c>
      <c r="B381" s="10">
        <v>0.37083333333333335</v>
      </c>
      <c r="C381" s="10">
        <v>0.37222222222222223</v>
      </c>
      <c r="D381" s="5">
        <f>C381-B381</f>
        <v>1.388888888888884E-3</v>
      </c>
      <c r="E381" s="6" t="s">
        <v>29</v>
      </c>
      <c r="F381" s="7" t="s">
        <v>18</v>
      </c>
      <c r="G381" s="7" t="str">
        <f>IF(F381="P1","Normal activity",IF(F381="P2","Clustering / aggregation",IF(F381="P3","Agitation",IF(F381="P4","Lethargy",IF(F381="P5","Jumping / splashing",IF(F381="P6","Reactivity to noise"))))))</f>
        <v>Lethargy</v>
      </c>
      <c r="H381" s="7" t="str">
        <f>IF(F381="P1","Regular swimming, even distribution",IF(F381="P2","Fish grouped in one corner",IF(F381="P3","Rapid swimming, escape behavior",IF(F381="P4","Little movement",IF(F381="P5","Jumping out of the water",IF(F381="P6","Reaction to a tool or impact"))))))</f>
        <v>Little movement</v>
      </c>
      <c r="I381" s="6" t="s">
        <v>131</v>
      </c>
    </row>
    <row r="382" spans="1:9" x14ac:dyDescent="0.35">
      <c r="A382" s="4">
        <v>46171</v>
      </c>
      <c r="B382" s="10">
        <v>0.37222222222222223</v>
      </c>
      <c r="C382" s="10">
        <v>0.37361111111111112</v>
      </c>
      <c r="D382" s="5">
        <f>C382-B382</f>
        <v>1.388888888888884E-3</v>
      </c>
      <c r="E382" s="6" t="s">
        <v>31</v>
      </c>
      <c r="F382" s="7" t="s">
        <v>15</v>
      </c>
      <c r="G382" s="7" t="str">
        <f>IF(F382="P1","Normal activity",IF(F382="P2","Clustering / aggregation",IF(F382="P3","Agitation",IF(F382="P4","Lethargy",IF(F382="P5","Jumping / splashing",IF(F382="P6","Reactivity to noise"))))))</f>
        <v>Agitation</v>
      </c>
      <c r="H382" s="7" t="str">
        <f>IF(F382="P1","Regular swimming, even distribution",IF(F382="P2","Fish grouped in one corner",IF(F382="P3","Rapid swimming, escape behavior",IF(F382="P4","Little movement",IF(F382="P5","Jumping out of the water",IF(F382="P6","Reaction to a tool or impact"))))))</f>
        <v>Rapid swimming, escape behavior</v>
      </c>
      <c r="I382" s="6" t="s">
        <v>121</v>
      </c>
    </row>
    <row r="383" spans="1:9" x14ac:dyDescent="0.35">
      <c r="A383" s="4">
        <v>46171</v>
      </c>
      <c r="B383" s="10">
        <v>0.37361111111111112</v>
      </c>
      <c r="C383" s="10">
        <v>0.375</v>
      </c>
      <c r="D383" s="5">
        <f>C383-B383</f>
        <v>1.388888888888884E-3</v>
      </c>
      <c r="E383" s="6" t="s">
        <v>274</v>
      </c>
      <c r="F383" s="7"/>
      <c r="G383" s="7" t="b">
        <f>IF(F383="P1","Normal activity",IF(F383="P2","Clustering / aggregation",IF(F383="P3","Agitation",IF(F383="P4","Lethargy",IF(F383="P5","Jumping / splashing",IF(F383="P6","Reactivity to noise"))))))</f>
        <v>0</v>
      </c>
      <c r="H383" s="7" t="b">
        <f>IF(F383="P1","Regular swimming, even distribution",IF(F383="P2","Fish grouped in one corner",IF(F383="P3","Rapid swimming, escape behavior",IF(F383="P4","Little movement",IF(F383="P5","Jumping out of the water",IF(F383="P6","Reaction to a tool or impact"))))))</f>
        <v>0</v>
      </c>
      <c r="I383" s="6" t="s">
        <v>275</v>
      </c>
    </row>
    <row r="384" spans="1:9" x14ac:dyDescent="0.35">
      <c r="A384" s="4">
        <v>46171</v>
      </c>
      <c r="B384" s="10">
        <v>0.37847222222222221</v>
      </c>
      <c r="C384" s="10">
        <v>0.37986111111111109</v>
      </c>
      <c r="D384" s="5">
        <f>C384-B384</f>
        <v>1.388888888888884E-3</v>
      </c>
      <c r="E384" s="6" t="s">
        <v>27</v>
      </c>
      <c r="F384" s="7" t="s">
        <v>9</v>
      </c>
      <c r="G384" s="7" t="str">
        <f>IF(F384="P1","Normal activity",IF(F384="P2","Clustering / aggregation",IF(F384="P3","Agitation",IF(F384="P4","Lethargy",IF(F384="P5","Jumping / splashing",IF(F384="P6","Reactivity to noise"))))))</f>
        <v>Normal activity</v>
      </c>
      <c r="H384" s="7" t="str">
        <f>IF(F384="P1","Regular swimming, even distribution",IF(F384="P2","Fish grouped in one corner",IF(F384="P3","Rapid swimming, escape behavior",IF(F384="P4","Little movement",IF(F384="P5","Jumping out of the water",IF(F384="P6","Reaction to a tool or impact"))))))</f>
        <v>Regular swimming, even distribution</v>
      </c>
      <c r="I384" s="6"/>
    </row>
    <row r="385" spans="1:9" x14ac:dyDescent="0.35">
      <c r="A385" s="4">
        <v>46171</v>
      </c>
      <c r="B385" s="10">
        <v>0.37986111111111109</v>
      </c>
      <c r="C385" s="10">
        <v>0.38124999999999998</v>
      </c>
      <c r="D385" s="5">
        <f>C385-B385</f>
        <v>1.388888888888884E-3</v>
      </c>
      <c r="E385" s="6" t="s">
        <v>28</v>
      </c>
      <c r="F385" s="7" t="s">
        <v>12</v>
      </c>
      <c r="G385" s="7" t="str">
        <f>IF(F385="P1","Normal activity",IF(F385="P2","Clustering / aggregation",IF(F385="P3","Agitation",IF(F385="P4","Lethargy",IF(F385="P5","Jumping / splashing",IF(F385="P6","Reactivity to noise"))))))</f>
        <v>Clustering / aggregation</v>
      </c>
      <c r="H385" s="7" t="str">
        <f>IF(F385="P1","Regular swimming, even distribution",IF(F385="P2","Fish grouped in one corner",IF(F385="P3","Rapid swimming, escape behavior",IF(F385="P4","Little movement",IF(F385="P5","Jumping out of the water",IF(F385="P6","Reaction to a tool or impact"))))))</f>
        <v>Fish grouped in one corner</v>
      </c>
      <c r="I385" s="6" t="s">
        <v>276</v>
      </c>
    </row>
    <row r="386" spans="1:9" x14ac:dyDescent="0.35">
      <c r="A386" s="4">
        <v>46171</v>
      </c>
      <c r="B386" s="10">
        <v>0.38124999999999998</v>
      </c>
      <c r="C386" s="10">
        <v>0.38263888888888886</v>
      </c>
      <c r="D386" s="5">
        <f>C386-B386</f>
        <v>1.388888888888884E-3</v>
      </c>
      <c r="E386" s="6" t="s">
        <v>29</v>
      </c>
      <c r="F386" s="7" t="s">
        <v>9</v>
      </c>
      <c r="G386" s="7" t="str">
        <f>IF(F386="P1","Normal activity",IF(F386="P2","Clustering / aggregation",IF(F386="P3","Agitation",IF(F386="P4","Lethargy",IF(F386="P5","Jumping / splashing",IF(F386="P6","Reactivity to noise"))))))</f>
        <v>Normal activity</v>
      </c>
      <c r="H386" s="7" t="str">
        <f>IF(F386="P1","Regular swimming, even distribution",IF(F386="P2","Fish grouped in one corner",IF(F386="P3","Rapid swimming, escape behavior",IF(F386="P4","Little movement",IF(F386="P5","Jumping out of the water",IF(F386="P6","Reaction to a tool or impact"))))))</f>
        <v>Regular swimming, even distribution</v>
      </c>
      <c r="I386" s="6"/>
    </row>
    <row r="387" spans="1:9" x14ac:dyDescent="0.35">
      <c r="A387" s="4">
        <v>46171</v>
      </c>
      <c r="B387" s="10">
        <v>0.38263888888888886</v>
      </c>
      <c r="C387" s="10">
        <v>0.3840277777777778</v>
      </c>
      <c r="D387" s="5">
        <f>C387-B387</f>
        <v>1.3888888888889395E-3</v>
      </c>
      <c r="E387" s="6" t="s">
        <v>31</v>
      </c>
      <c r="F387" s="7" t="s">
        <v>9</v>
      </c>
      <c r="G387" s="7" t="str">
        <f>IF(F387="P1","Normal activity",IF(F387="P2","Clustering / aggregation",IF(F387="P3","Agitation",IF(F387="P4","Lethargy",IF(F387="P5","Jumping / splashing",IF(F387="P6","Reactivity to noise"))))))</f>
        <v>Normal activity</v>
      </c>
      <c r="H387" s="7" t="str">
        <f>IF(F387="P1","Regular swimming, even distribution",IF(F387="P2","Fish grouped in one corner",IF(F387="P3","Rapid swimming, escape behavior",IF(F387="P4","Little movement",IF(F387="P5","Jumping out of the water",IF(F387="P6","Reaction to a tool or impact"))))))</f>
        <v>Regular swimming, even distribution</v>
      </c>
      <c r="I387" s="6"/>
    </row>
    <row r="388" spans="1:9" x14ac:dyDescent="0.35">
      <c r="A388" s="4">
        <v>46171</v>
      </c>
      <c r="B388" s="10">
        <v>0.3840277777777778</v>
      </c>
      <c r="C388" s="10">
        <v>0.38541666666666669</v>
      </c>
      <c r="D388" s="5">
        <f>C388-B388</f>
        <v>1.388888888888884E-3</v>
      </c>
      <c r="E388" s="6" t="s">
        <v>274</v>
      </c>
      <c r="F388" s="7"/>
      <c r="G388" s="7" t="b">
        <f>IF(F388="P1","Normal activity",IF(F388="P2","Clustering / aggregation",IF(F388="P3","Agitation",IF(F388="P4","Lethargy",IF(F388="P5","Jumping / splashing",IF(F388="P6","Reactivity to noise"))))))</f>
        <v>0</v>
      </c>
      <c r="H388" s="7" t="b">
        <f>IF(F388="P1","Regular swimming, even distribution",IF(F388="P2","Fish grouped in one corner",IF(F388="P3","Rapid swimming, escape behavior",IF(F388="P4","Little movement",IF(F388="P5","Jumping out of the water",IF(F388="P6","Reaction to a tool or impact"))))))</f>
        <v>0</v>
      </c>
      <c r="I388" s="6" t="s">
        <v>275</v>
      </c>
    </row>
    <row r="389" spans="1:9" x14ac:dyDescent="0.35">
      <c r="A389" s="4">
        <v>46171</v>
      </c>
      <c r="B389" s="10">
        <v>0.43055555555555558</v>
      </c>
      <c r="C389" s="10">
        <v>0.43194444444444446</v>
      </c>
      <c r="D389" s="5">
        <f>C389-B389</f>
        <v>1.388888888888884E-3</v>
      </c>
      <c r="E389" s="6" t="s">
        <v>27</v>
      </c>
      <c r="F389" s="7" t="s">
        <v>9</v>
      </c>
      <c r="G389" s="7" t="str">
        <f>IF(F389="P1","Normal activity",IF(F389="P2","Clustering / aggregation",IF(F389="P3","Agitation",IF(F389="P4","Lethargy",IF(F389="P5","Jumping / splashing",IF(F389="P6","Reactivity to noise"))))))</f>
        <v>Normal activity</v>
      </c>
      <c r="H389" s="7" t="str">
        <f>IF(F389="P1","Regular swimming, even distribution",IF(F389="P2","Fish grouped in one corner",IF(F389="P3","Rapid swimming, escape behavior",IF(F389="P4","Little movement",IF(F389="P5","Jumping out of the water",IF(F389="P6","Reaction to a tool or impact"))))))</f>
        <v>Regular swimming, even distribution</v>
      </c>
      <c r="I389" s="6"/>
    </row>
    <row r="390" spans="1:9" x14ac:dyDescent="0.35">
      <c r="A390" s="4">
        <v>46171</v>
      </c>
      <c r="B390" s="10">
        <v>0.43194444444444446</v>
      </c>
      <c r="C390" s="10">
        <v>0.43333333333333335</v>
      </c>
      <c r="D390" s="5">
        <f>C390-B390</f>
        <v>1.388888888888884E-3</v>
      </c>
      <c r="E390" s="6" t="s">
        <v>28</v>
      </c>
      <c r="F390" s="7" t="s">
        <v>18</v>
      </c>
      <c r="G390" s="7" t="str">
        <f>IF(F390="P1","Normal activity",IF(F390="P2","Clustering / aggregation",IF(F390="P3","Agitation",IF(F390="P4","Lethargy",IF(F390="P5","Jumping / splashing",IF(F390="P6","Reactivity to noise"))))))</f>
        <v>Lethargy</v>
      </c>
      <c r="H390" s="7" t="str">
        <f>IF(F390="P1","Regular swimming, even distribution",IF(F390="P2","Fish grouped in one corner",IF(F390="P3","Rapid swimming, escape behavior",IF(F390="P4","Little movement",IF(F390="P5","Jumping out of the water",IF(F390="P6","Reaction to a tool or impact"))))))</f>
        <v>Little movement</v>
      </c>
      <c r="I390" s="6"/>
    </row>
    <row r="391" spans="1:9" x14ac:dyDescent="0.35">
      <c r="A391" s="4">
        <v>46171</v>
      </c>
      <c r="B391" s="10">
        <v>0.43333333333333335</v>
      </c>
      <c r="C391" s="10">
        <v>0.43472222222222223</v>
      </c>
      <c r="D391" s="5">
        <f>C391-B391</f>
        <v>1.388888888888884E-3</v>
      </c>
      <c r="E391" s="6" t="s">
        <v>29</v>
      </c>
      <c r="F391" s="7" t="s">
        <v>9</v>
      </c>
      <c r="G391" s="7" t="str">
        <f>IF(F391="P1","Normal activity",IF(F391="P2","Clustering / aggregation",IF(F391="P3","Agitation",IF(F391="P4","Lethargy",IF(F391="P5","Jumping / splashing",IF(F391="P6","Reactivity to noise"))))))</f>
        <v>Normal activity</v>
      </c>
      <c r="H391" s="7" t="str">
        <f>IF(F391="P1","Regular swimming, even distribution",IF(F391="P2","Fish grouped in one corner",IF(F391="P3","Rapid swimming, escape behavior",IF(F391="P4","Little movement",IF(F391="P5","Jumping out of the water",IF(F391="P6","Reaction to a tool or impact"))))))</f>
        <v>Regular swimming, even distribution</v>
      </c>
      <c r="I391" s="6"/>
    </row>
    <row r="392" spans="1:9" x14ac:dyDescent="0.35">
      <c r="A392" s="4">
        <v>46171</v>
      </c>
      <c r="B392" s="10">
        <v>0.43472222222222223</v>
      </c>
      <c r="C392" s="10">
        <v>0.43611111111111112</v>
      </c>
      <c r="D392" s="5">
        <f>C392-B392</f>
        <v>1.388888888888884E-3</v>
      </c>
      <c r="E392" s="6" t="s">
        <v>31</v>
      </c>
      <c r="F392" s="7" t="s">
        <v>9</v>
      </c>
      <c r="G392" s="7" t="str">
        <f>IF(F392="P1","Normal activity",IF(F392="P2","Clustering / aggregation",IF(F392="P3","Agitation",IF(F392="P4","Lethargy",IF(F392="P5","Jumping / splashing",IF(F392="P6","Reactivity to noise"))))))</f>
        <v>Normal activity</v>
      </c>
      <c r="H392" s="7" t="str">
        <f>IF(F392="P1","Regular swimming, even distribution",IF(F392="P2","Fish grouped in one corner",IF(F392="P3","Rapid swimming, escape behavior",IF(F392="P4","Little movement",IF(F392="P5","Jumping out of the water",IF(F392="P6","Reaction to a tool or impact"))))))</f>
        <v>Regular swimming, even distribution</v>
      </c>
      <c r="I392" s="6"/>
    </row>
    <row r="393" spans="1:9" x14ac:dyDescent="0.35">
      <c r="A393" s="4">
        <v>46171</v>
      </c>
      <c r="B393" s="10">
        <v>0.43472222222222223</v>
      </c>
      <c r="C393" s="10">
        <v>0.43611111111111112</v>
      </c>
      <c r="D393" s="5">
        <f>C393-B393</f>
        <v>1.388888888888884E-3</v>
      </c>
      <c r="E393" s="6" t="s">
        <v>31</v>
      </c>
      <c r="F393" s="7" t="s">
        <v>15</v>
      </c>
      <c r="G393" s="7" t="str">
        <f>IF(F393="P1","Normal activity",IF(F393="P2","Clustering / aggregation",IF(F393="P3","Agitation",IF(F393="P4","Lethargy",IF(F393="P5","Jumping / splashing",IF(F393="P6","Reactivity to noise"))))))</f>
        <v>Agitation</v>
      </c>
      <c r="H393" s="7" t="str">
        <f>IF(F393="P1","Regular swimming, even distribution",IF(F393="P2","Fish grouped in one corner",IF(F393="P3","Rapid swimming, escape behavior",IF(F393="P4","Little movement",IF(F393="P5","Jumping out of the water",IF(F393="P6","Reaction to a tool or impact"))))))</f>
        <v>Rapid swimming, escape behavior</v>
      </c>
      <c r="I393" s="6" t="s">
        <v>277</v>
      </c>
    </row>
    <row r="394" spans="1:9" x14ac:dyDescent="0.35">
      <c r="A394" s="4">
        <v>46171</v>
      </c>
      <c r="B394" s="10">
        <v>0.43611111111111112</v>
      </c>
      <c r="C394" s="10">
        <v>0.4375</v>
      </c>
      <c r="D394" s="5">
        <f>C394-B394</f>
        <v>1.388888888888884E-3</v>
      </c>
      <c r="E394" s="6" t="s">
        <v>274</v>
      </c>
      <c r="F394" s="7"/>
      <c r="G394" s="7" t="b">
        <f>IF(F394="P1","Normal activity",IF(F394="P2","Clustering / aggregation",IF(F394="P3","Agitation",IF(F394="P4","Lethargy",IF(F394="P5","Jumping / splashing",IF(F394="P6","Reactivity to noise"))))))</f>
        <v>0</v>
      </c>
      <c r="H394" s="7" t="b">
        <f>IF(F394="P1","Regular swimming, even distribution",IF(F394="P2","Fish grouped in one corner",IF(F394="P3","Rapid swimming, escape behavior",IF(F394="P4","Little movement",IF(F394="P5","Jumping out of the water",IF(F394="P6","Reaction to a tool or impact"))))))</f>
        <v>0</v>
      </c>
      <c r="I394" s="6" t="s">
        <v>275</v>
      </c>
    </row>
    <row r="395" spans="1:9" x14ac:dyDescent="0.35">
      <c r="A395" s="4">
        <v>46171</v>
      </c>
      <c r="B395" s="10">
        <v>0.4375</v>
      </c>
      <c r="C395" s="10">
        <v>0.44097222222222221</v>
      </c>
      <c r="D395" s="5">
        <f>C395-B395</f>
        <v>3.4722222222222099E-3</v>
      </c>
      <c r="E395" s="6"/>
      <c r="F395" s="7"/>
      <c r="G395" s="7" t="b">
        <f>IF(F395="P1","Normal activity",IF(F395="P2","Clustering / aggregation",IF(F395="P3","Agitation",IF(F395="P4","Lethargy",IF(F395="P5","Jumping / splashing",IF(F395="P6","Reactivity to noise"))))))</f>
        <v>0</v>
      </c>
      <c r="H395" s="7" t="b">
        <f>IF(F395="P1","Regular swimming, even distribution",IF(F395="P2","Fish grouped in one corner",IF(F395="P3","Rapid swimming, escape behavior",IF(F395="P4","Little movement",IF(F395="P5","Jumping out of the water",IF(F395="P6","Reaction to a tool or impact"))))))</f>
        <v>0</v>
      </c>
      <c r="I395" s="6" t="s">
        <v>278</v>
      </c>
    </row>
    <row r="396" spans="1:9" x14ac:dyDescent="0.35">
      <c r="A396" s="4">
        <v>46171</v>
      </c>
      <c r="B396" s="10">
        <v>0.44097222222222221</v>
      </c>
      <c r="C396" s="10">
        <v>0.44236111111111109</v>
      </c>
      <c r="D396" s="5">
        <f>C396-B396</f>
        <v>1.388888888888884E-3</v>
      </c>
      <c r="E396" s="6" t="s">
        <v>27</v>
      </c>
      <c r="F396" s="7" t="s">
        <v>9</v>
      </c>
      <c r="G396" s="7" t="str">
        <f>IF(F396="P1","Normal activity",IF(F396="P2","Clustering / aggregation",IF(F396="P3","Agitation",IF(F396="P4","Lethargy",IF(F396="P5","Jumping / splashing",IF(F396="P6","Reactivity to noise"))))))</f>
        <v>Normal activity</v>
      </c>
      <c r="H396" s="7" t="str">
        <f>IF(F396="P1","Regular swimming, even distribution",IF(F396="P2","Fish grouped in one corner",IF(F396="P3","Rapid swimming, escape behavior",IF(F396="P4","Little movement",IF(F396="P5","Jumping out of the water",IF(F396="P6","Reaction to a tool or impact"))))))</f>
        <v>Regular swimming, even distribution</v>
      </c>
      <c r="I396" s="6"/>
    </row>
    <row r="397" spans="1:9" x14ac:dyDescent="0.35">
      <c r="A397" s="4">
        <v>46171</v>
      </c>
      <c r="B397" s="10">
        <v>0.44236111111111109</v>
      </c>
      <c r="C397" s="10">
        <v>0.44374999999999998</v>
      </c>
      <c r="D397" s="5">
        <f>C397-B397</f>
        <v>1.388888888888884E-3</v>
      </c>
      <c r="E397" s="6" t="s">
        <v>28</v>
      </c>
      <c r="F397" s="7" t="s">
        <v>12</v>
      </c>
      <c r="G397" s="7" t="str">
        <f>IF(F397="P1","Normal activity",IF(F397="P2","Clustering / aggregation",IF(F397="P3","Agitation",IF(F397="P4","Lethargy",IF(F397="P5","Jumping / splashing",IF(F397="P6","Reactivity to noise"))))))</f>
        <v>Clustering / aggregation</v>
      </c>
      <c r="H397" s="7" t="str">
        <f>IF(F397="P1","Regular swimming, even distribution",IF(F397="P2","Fish grouped in one corner",IF(F397="P3","Rapid swimming, escape behavior",IF(F397="P4","Little movement",IF(F397="P5","Jumping out of the water",IF(F397="P6","Reaction to a tool or impact"))))))</f>
        <v>Fish grouped in one corner</v>
      </c>
      <c r="I397" s="6" t="s">
        <v>279</v>
      </c>
    </row>
    <row r="398" spans="1:9" x14ac:dyDescent="0.35">
      <c r="A398" s="4">
        <v>46171</v>
      </c>
      <c r="B398" s="10">
        <v>0.44374999999999998</v>
      </c>
      <c r="C398" s="10">
        <v>0.44513888888888886</v>
      </c>
      <c r="D398" s="5">
        <f>C398-B398</f>
        <v>1.388888888888884E-3</v>
      </c>
      <c r="E398" s="6" t="s">
        <v>29</v>
      </c>
      <c r="F398" s="7" t="s">
        <v>9</v>
      </c>
      <c r="G398" s="7" t="str">
        <f>IF(F398="P1","Normal activity",IF(F398="P2","Clustering / aggregation",IF(F398="P3","Agitation",IF(F398="P4","Lethargy",IF(F398="P5","Jumping / splashing",IF(F398="P6","Reactivity to noise"))))))</f>
        <v>Normal activity</v>
      </c>
      <c r="H398" s="7" t="str">
        <f>IF(F398="P1","Regular swimming, even distribution",IF(F398="P2","Fish grouped in one corner",IF(F398="P3","Rapid swimming, escape behavior",IF(F398="P4","Little movement",IF(F398="P5","Jumping out of the water",IF(F398="P6","Reaction to a tool or impact"))))))</f>
        <v>Regular swimming, even distribution</v>
      </c>
      <c r="I398" s="6"/>
    </row>
    <row r="399" spans="1:9" x14ac:dyDescent="0.35">
      <c r="A399" s="4">
        <v>46171</v>
      </c>
      <c r="B399" s="10">
        <v>0.44513888888888886</v>
      </c>
      <c r="C399" s="10">
        <v>0.4465277777777778</v>
      </c>
      <c r="D399" s="5">
        <f>C399-B399</f>
        <v>1.3888888888889395E-3</v>
      </c>
      <c r="E399" s="6" t="s">
        <v>31</v>
      </c>
      <c r="F399" s="7" t="s">
        <v>9</v>
      </c>
      <c r="G399" s="7" t="str">
        <f>IF(F399="P1","Normal activity",IF(F399="P2","Clustering / aggregation",IF(F399="P3","Agitation",IF(F399="P4","Lethargy",IF(F399="P5","Jumping / splashing",IF(F399="P6","Reactivity to noise"))))))</f>
        <v>Normal activity</v>
      </c>
      <c r="H399" s="7" t="str">
        <f>IF(F399="P1","Regular swimming, even distribution",IF(F399="P2","Fish grouped in one corner",IF(F399="P3","Rapid swimming, escape behavior",IF(F399="P4","Little movement",IF(F399="P5","Jumping out of the water",IF(F399="P6","Reaction to a tool or impact"))))))</f>
        <v>Regular swimming, even distribution</v>
      </c>
      <c r="I399" s="6"/>
    </row>
    <row r="400" spans="1:9" x14ac:dyDescent="0.35">
      <c r="A400" s="4">
        <v>46171</v>
      </c>
      <c r="B400" s="10">
        <v>0.44513888888888886</v>
      </c>
      <c r="C400" s="10">
        <v>0.4465277777777778</v>
      </c>
      <c r="D400" s="5">
        <f>C400-B400</f>
        <v>1.3888888888889395E-3</v>
      </c>
      <c r="E400" s="6" t="s">
        <v>31</v>
      </c>
      <c r="F400" s="7" t="s">
        <v>12</v>
      </c>
      <c r="G400" s="7" t="str">
        <f>IF(F400="P1","Normal activity",IF(F400="P2","Clustering / aggregation",IF(F400="P3","Agitation",IF(F400="P4","Lethargy",IF(F400="P5","Jumping / splashing",IF(F400="P6","Reactivity to noise"))))))</f>
        <v>Clustering / aggregation</v>
      </c>
      <c r="H400" s="7" t="str">
        <f>IF(F400="P1","Regular swimming, even distribution",IF(F400="P2","Fish grouped in one corner",IF(F400="P3","Rapid swimming, escape behavior",IF(F400="P4","Little movement",IF(F400="P5","Jumping out of the water",IF(F400="P6","Reaction to a tool or impact"))))))</f>
        <v>Fish grouped in one corner</v>
      </c>
      <c r="I400" s="6" t="s">
        <v>280</v>
      </c>
    </row>
    <row r="401" spans="1:9" x14ac:dyDescent="0.35">
      <c r="A401" s="4">
        <v>46171</v>
      </c>
      <c r="B401" s="10">
        <v>0.4465277777777778</v>
      </c>
      <c r="C401" s="10">
        <v>0.44791666666666669</v>
      </c>
      <c r="D401" s="5">
        <f>C401-B401</f>
        <v>1.388888888888884E-3</v>
      </c>
      <c r="E401" s="6" t="s">
        <v>274</v>
      </c>
      <c r="F401" s="7"/>
      <c r="G401" s="7" t="b">
        <f>IF(F401="P1","Normal activity",IF(F401="P2","Clustering / aggregation",IF(F401="P3","Agitation",IF(F401="P4","Lethargy",IF(F401="P5","Jumping / splashing",IF(F401="P6","Reactivity to noise"))))))</f>
        <v>0</v>
      </c>
      <c r="H401" s="7" t="b">
        <f>IF(F401="P1","Regular swimming, even distribution",IF(F401="P2","Fish grouped in one corner",IF(F401="P3","Rapid swimming, escape behavior",IF(F401="P4","Little movement",IF(F401="P5","Jumping out of the water",IF(F401="P6","Reaction to a tool or impact"))))))</f>
        <v>0</v>
      </c>
      <c r="I401" s="6" t="s">
        <v>275</v>
      </c>
    </row>
    <row r="402" spans="1:9" x14ac:dyDescent="0.35">
      <c r="A402" s="4">
        <v>46171</v>
      </c>
      <c r="B402" s="10">
        <v>0.49305555555555558</v>
      </c>
      <c r="C402" s="10">
        <v>0.49444444444444446</v>
      </c>
      <c r="D402" s="5">
        <f>C402-B402</f>
        <v>1.388888888888884E-3</v>
      </c>
      <c r="E402" s="6" t="s">
        <v>27</v>
      </c>
      <c r="F402" s="7" t="s">
        <v>9</v>
      </c>
      <c r="G402" s="7" t="str">
        <f>IF(F402="P1","Normal activity",IF(F402="P2","Clustering / aggregation",IF(F402="P3","Agitation",IF(F402="P4","Lethargy",IF(F402="P5","Jumping / splashing",IF(F402="P6","Reactivity to noise"))))))</f>
        <v>Normal activity</v>
      </c>
      <c r="H402" s="7" t="str">
        <f>IF(F402="P1","Regular swimming, even distribution",IF(F402="P2","Fish grouped in one corner",IF(F402="P3","Rapid swimming, escape behavior",IF(F402="P4","Little movement",IF(F402="P5","Jumping out of the water",IF(F402="P6","Reaction to a tool or impact"))))))</f>
        <v>Regular swimming, even distribution</v>
      </c>
      <c r="I402" s="6"/>
    </row>
    <row r="403" spans="1:9" x14ac:dyDescent="0.35">
      <c r="A403" s="4">
        <v>46171</v>
      </c>
      <c r="B403" s="10">
        <v>0.49444444444444446</v>
      </c>
      <c r="C403" s="10">
        <v>0.49583333333333335</v>
      </c>
      <c r="D403" s="5">
        <f>C403-B403</f>
        <v>1.388888888888884E-3</v>
      </c>
      <c r="E403" s="6" t="s">
        <v>28</v>
      </c>
      <c r="F403" s="7" t="s">
        <v>12</v>
      </c>
      <c r="G403" s="7" t="str">
        <f>IF(F403="P1","Normal activity",IF(F403="P2","Clustering / aggregation",IF(F403="P3","Agitation",IF(F403="P4","Lethargy",IF(F403="P5","Jumping / splashing",IF(F403="P6","Reactivity to noise"))))))</f>
        <v>Clustering / aggregation</v>
      </c>
      <c r="H403" s="7" t="str">
        <f>IF(F403="P1","Regular swimming, even distribution",IF(F403="P2","Fish grouped in one corner",IF(F403="P3","Rapid swimming, escape behavior",IF(F403="P4","Little movement",IF(F403="P5","Jumping out of the water",IF(F403="P6","Reaction to a tool or impact"))))))</f>
        <v>Fish grouped in one corner</v>
      </c>
      <c r="I403" s="6" t="s">
        <v>281</v>
      </c>
    </row>
    <row r="404" spans="1:9" x14ac:dyDescent="0.35">
      <c r="A404" s="4">
        <v>46171</v>
      </c>
      <c r="B404" s="10">
        <v>0.49444444444444446</v>
      </c>
      <c r="C404" s="10">
        <v>0.49583333333333335</v>
      </c>
      <c r="D404" s="5">
        <f>C404-B404</f>
        <v>1.388888888888884E-3</v>
      </c>
      <c r="E404" s="6" t="s">
        <v>28</v>
      </c>
      <c r="F404" s="7" t="s">
        <v>15</v>
      </c>
      <c r="G404" s="7" t="str">
        <f>IF(F404="P1","Normal activity",IF(F404="P2","Clustering / aggregation",IF(F404="P3","Agitation",IF(F404="P4","Lethargy",IF(F404="P5","Jumping / splashing",IF(F404="P6","Reactivity to noise"))))))</f>
        <v>Agitation</v>
      </c>
      <c r="H404" s="7" t="str">
        <f>IF(F404="P1","Regular swimming, even distribution",IF(F404="P2","Fish grouped in one corner",IF(F404="P3","Rapid swimming, escape behavior",IF(F404="P4","Little movement",IF(F404="P5","Jumping out of the water",IF(F404="P6","Reaction to a tool or impact"))))))</f>
        <v>Rapid swimming, escape behavior</v>
      </c>
      <c r="I404" s="6" t="s">
        <v>128</v>
      </c>
    </row>
    <row r="405" spans="1:9" x14ac:dyDescent="0.35">
      <c r="A405" s="4">
        <v>46171</v>
      </c>
      <c r="B405" s="10">
        <v>0.49583333333333335</v>
      </c>
      <c r="C405" s="10">
        <v>0.49722222222222223</v>
      </c>
      <c r="D405" s="5">
        <f>C405-B405</f>
        <v>1.388888888888884E-3</v>
      </c>
      <c r="E405" s="6" t="s">
        <v>29</v>
      </c>
      <c r="F405" s="7" t="s">
        <v>12</v>
      </c>
      <c r="G405" s="7" t="str">
        <f>IF(F405="P1","Normal activity",IF(F405="P2","Clustering / aggregation",IF(F405="P3","Agitation",IF(F405="P4","Lethargy",IF(F405="P5","Jumping / splashing",IF(F405="P6","Reactivity to noise"))))))</f>
        <v>Clustering / aggregation</v>
      </c>
      <c r="H405" s="7" t="str">
        <f>IF(F405="P1","Regular swimming, even distribution",IF(F405="P2","Fish grouped in one corner",IF(F405="P3","Rapid swimming, escape behavior",IF(F405="P4","Little movement",IF(F405="P5","Jumping out of the water",IF(F405="P6","Reaction to a tool or impact"))))))</f>
        <v>Fish grouped in one corner</v>
      </c>
      <c r="I405" s="6" t="s">
        <v>282</v>
      </c>
    </row>
    <row r="406" spans="1:9" x14ac:dyDescent="0.35">
      <c r="A406" s="4">
        <v>46171</v>
      </c>
      <c r="B406" s="10">
        <v>0.49722222222222223</v>
      </c>
      <c r="C406" s="10">
        <v>0.49861111111111112</v>
      </c>
      <c r="D406" s="5">
        <f>C406-B406</f>
        <v>1.388888888888884E-3</v>
      </c>
      <c r="E406" s="6" t="s">
        <v>31</v>
      </c>
      <c r="F406" s="7" t="s">
        <v>9</v>
      </c>
      <c r="G406" s="7" t="str">
        <f>IF(F406="P1","Normal activity",IF(F406="P2","Clustering / aggregation",IF(F406="P3","Agitation",IF(F406="P4","Lethargy",IF(F406="P5","Jumping / splashing",IF(F406="P6","Reactivity to noise"))))))</f>
        <v>Normal activity</v>
      </c>
      <c r="H406" s="7" t="str">
        <f>IF(F406="P1","Regular swimming, even distribution",IF(F406="P2","Fish grouped in one corner",IF(F406="P3","Rapid swimming, escape behavior",IF(F406="P4","Little movement",IF(F406="P5","Jumping out of the water",IF(F406="P6","Reaction to a tool or impact"))))))</f>
        <v>Regular swimming, even distribution</v>
      </c>
      <c r="I406" s="6"/>
    </row>
    <row r="407" spans="1:9" x14ac:dyDescent="0.35">
      <c r="A407" s="4">
        <v>46171</v>
      </c>
      <c r="B407" s="10">
        <v>0.49861111111111112</v>
      </c>
      <c r="C407" s="10">
        <v>0.5</v>
      </c>
      <c r="D407" s="5">
        <f>C407-B407</f>
        <v>1.388888888888884E-3</v>
      </c>
      <c r="E407" s="6" t="s">
        <v>274</v>
      </c>
      <c r="F407" s="7"/>
      <c r="G407" s="7" t="b">
        <f>IF(F407="P1","Normal activity",IF(F407="P2","Clustering / aggregation",IF(F407="P3","Agitation",IF(F407="P4","Lethargy",IF(F407="P5","Jumping / splashing",IF(F407="P6","Reactivity to noise"))))))</f>
        <v>0</v>
      </c>
      <c r="H407" s="7" t="b">
        <f>IF(F407="P1","Regular swimming, even distribution",IF(F407="P2","Fish grouped in one corner",IF(F407="P3","Rapid swimming, escape behavior",IF(F407="P4","Little movement",IF(F407="P5","Jumping out of the water",IF(F407="P6","Reaction to a tool or impact"))))))</f>
        <v>0</v>
      </c>
      <c r="I407" s="6"/>
    </row>
    <row r="408" spans="1:9" x14ac:dyDescent="0.35">
      <c r="A408" s="4">
        <v>46171</v>
      </c>
      <c r="B408" s="10">
        <v>0.5</v>
      </c>
      <c r="C408" s="10">
        <v>0.50347222222222221</v>
      </c>
      <c r="D408" s="5">
        <f>C408-B408</f>
        <v>3.4722222222222099E-3</v>
      </c>
      <c r="E408" s="6"/>
      <c r="F408" s="7"/>
      <c r="G408" s="7" t="b">
        <f>IF(F408="P1","Normal activity",IF(F408="P2","Clustering / aggregation",IF(F408="P3","Agitation",IF(F408="P4","Lethargy",IF(F408="P5","Jumping / splashing",IF(F408="P6","Reactivity to noise"))))))</f>
        <v>0</v>
      </c>
      <c r="H408" s="7" t="b">
        <f>IF(F408="P1","Regular swimming, even distribution",IF(F408="P2","Fish grouped in one corner",IF(F408="P3","Rapid swimming, escape behavior",IF(F408="P4","Little movement",IF(F408="P5","Jumping out of the water",IF(F408="P6","Reaction to a tool or impact"))))))</f>
        <v>0</v>
      </c>
      <c r="I408" s="6" t="s">
        <v>235</v>
      </c>
    </row>
    <row r="409" spans="1:9" x14ac:dyDescent="0.35">
      <c r="A409" s="4">
        <v>46171</v>
      </c>
      <c r="B409" s="10">
        <v>0.50347222222222221</v>
      </c>
      <c r="C409" s="10">
        <v>0.50486111111111109</v>
      </c>
      <c r="D409" s="5">
        <f>C409-B409</f>
        <v>1.388888888888884E-3</v>
      </c>
      <c r="E409" s="6" t="s">
        <v>27</v>
      </c>
      <c r="F409" s="7" t="s">
        <v>9</v>
      </c>
      <c r="G409" s="7" t="str">
        <f>IF(F409="P1","Normal activity",IF(F409="P2","Clustering / aggregation",IF(F409="P3","Agitation",IF(F409="P4","Lethargy",IF(F409="P5","Jumping / splashing",IF(F409="P6","Reactivity to noise"))))))</f>
        <v>Normal activity</v>
      </c>
      <c r="H409" s="7" t="str">
        <f>IF(F409="P1","Regular swimming, even distribution",IF(F409="P2","Fish grouped in one corner",IF(F409="P3","Rapid swimming, escape behavior",IF(F409="P4","Little movement",IF(F409="P5","Jumping out of the water",IF(F409="P6","Reaction to a tool or impact"))))))</f>
        <v>Regular swimming, even distribution</v>
      </c>
      <c r="I409" s="6" t="s">
        <v>283</v>
      </c>
    </row>
    <row r="410" spans="1:9" x14ac:dyDescent="0.35">
      <c r="A410" s="4">
        <v>46171</v>
      </c>
      <c r="B410" s="10">
        <v>0.50486111111111109</v>
      </c>
      <c r="C410" s="10">
        <v>0.50624999999999998</v>
      </c>
      <c r="D410" s="5">
        <f>C410-B410</f>
        <v>1.388888888888884E-3</v>
      </c>
      <c r="E410" s="6" t="s">
        <v>28</v>
      </c>
      <c r="F410" s="7" t="s">
        <v>9</v>
      </c>
      <c r="G410" s="7" t="str">
        <f>IF(F410="P1","Normal activity",IF(F410="P2","Clustering / aggregation",IF(F410="P3","Agitation",IF(F410="P4","Lethargy",IF(F410="P5","Jumping / splashing",IF(F410="P6","Reactivity to noise"))))))</f>
        <v>Normal activity</v>
      </c>
      <c r="H410" s="7" t="str">
        <f>IF(F410="P1","Regular swimming, even distribution",IF(F410="P2","Fish grouped in one corner",IF(F410="P3","Rapid swimming, escape behavior",IF(F410="P4","Little movement",IF(F410="P5","Jumping out of the water",IF(F410="P6","Reaction to a tool or impact"))))))</f>
        <v>Regular swimming, even distribution</v>
      </c>
      <c r="I410" s="6" t="s">
        <v>63</v>
      </c>
    </row>
    <row r="411" spans="1:9" x14ac:dyDescent="0.35">
      <c r="A411" s="4">
        <v>46171</v>
      </c>
      <c r="B411" s="10">
        <v>0.50624999999999998</v>
      </c>
      <c r="C411" s="10">
        <v>0.50763888888888886</v>
      </c>
      <c r="D411" s="5">
        <f>C411-B411</f>
        <v>1.388888888888884E-3</v>
      </c>
      <c r="E411" s="6" t="s">
        <v>29</v>
      </c>
      <c r="F411" s="7" t="s">
        <v>9</v>
      </c>
      <c r="G411" s="7" t="str">
        <f>IF(F411="P1","Normal activity",IF(F411="P2","Clustering / aggregation",IF(F411="P3","Agitation",IF(F411="P4","Lethargy",IF(F411="P5","Jumping / splashing",IF(F411="P6","Reactivity to noise"))))))</f>
        <v>Normal activity</v>
      </c>
      <c r="H411" s="7" t="str">
        <f>IF(F411="P1","Regular swimming, even distribution",IF(F411="P2","Fish grouped in one corner",IF(F411="P3","Rapid swimming, escape behavior",IF(F411="P4","Little movement",IF(F411="P5","Jumping out of the water",IF(F411="P6","Reaction to a tool or impact"))))))</f>
        <v>Regular swimming, even distribution</v>
      </c>
      <c r="I411" s="6"/>
    </row>
    <row r="412" spans="1:9" x14ac:dyDescent="0.35">
      <c r="A412" s="4">
        <v>46171</v>
      </c>
      <c r="B412" s="10">
        <v>0.50763888888888886</v>
      </c>
      <c r="C412" s="10">
        <v>0.50902777777777775</v>
      </c>
      <c r="D412" s="5">
        <f>C412-B412</f>
        <v>1.388888888888884E-3</v>
      </c>
      <c r="E412" s="6" t="s">
        <v>31</v>
      </c>
      <c r="F412" s="7" t="s">
        <v>12</v>
      </c>
      <c r="G412" s="7" t="str">
        <f>IF(F412="P1","Normal activity",IF(F412="P2","Clustering / aggregation",IF(F412="P3","Agitation",IF(F412="P4","Lethargy",IF(F412="P5","Jumping / splashing",IF(F412="P6","Reactivity to noise"))))))</f>
        <v>Clustering / aggregation</v>
      </c>
      <c r="H412" s="7" t="str">
        <f>IF(F412="P1","Regular swimming, even distribution",IF(F412="P2","Fish grouped in one corner",IF(F412="P3","Rapid swimming, escape behavior",IF(F412="P4","Little movement",IF(F412="P5","Jumping out of the water",IF(F412="P6","Reaction to a tool or impact"))))))</f>
        <v>Fish grouped in one corner</v>
      </c>
      <c r="I412" s="6" t="s">
        <v>284</v>
      </c>
    </row>
    <row r="413" spans="1:9" x14ac:dyDescent="0.35">
      <c r="A413" s="4">
        <v>46171</v>
      </c>
      <c r="B413" s="10">
        <v>0.50763888888888886</v>
      </c>
      <c r="C413" s="10">
        <v>0.50902777777777775</v>
      </c>
      <c r="D413" s="5">
        <f>C413-B413</f>
        <v>1.388888888888884E-3</v>
      </c>
      <c r="E413" s="6" t="s">
        <v>31</v>
      </c>
      <c r="F413" s="7" t="s">
        <v>15</v>
      </c>
      <c r="G413" s="7" t="str">
        <f>IF(F413="P1","Normal activity",IF(F413="P2","Clustering / aggregation",IF(F413="P3","Agitation",IF(F413="P4","Lethargy",IF(F413="P5","Jumping / splashing",IF(F413="P6","Reactivity to noise"))))))</f>
        <v>Agitation</v>
      </c>
      <c r="H413" s="7" t="str">
        <f>IF(F413="P1","Regular swimming, even distribution",IF(F413="P2","Fish grouped in one corner",IF(F413="P3","Rapid swimming, escape behavior",IF(F413="P4","Little movement",IF(F413="P5","Jumping out of the water",IF(F413="P6","Reaction to a tool or impact"))))))</f>
        <v>Rapid swimming, escape behavior</v>
      </c>
      <c r="I413" s="6" t="s">
        <v>128</v>
      </c>
    </row>
    <row r="414" spans="1:9" x14ac:dyDescent="0.35">
      <c r="A414" s="4">
        <v>46171</v>
      </c>
      <c r="B414" s="10">
        <v>0.50902777777777775</v>
      </c>
      <c r="C414" s="10">
        <v>0.51041666666666663</v>
      </c>
      <c r="D414" s="5">
        <f>C414-B414</f>
        <v>1.388888888888884E-3</v>
      </c>
      <c r="E414" s="6"/>
      <c r="F414" s="7"/>
      <c r="G414" s="7" t="b">
        <f>IF(F414="P1","Normal activity",IF(F414="P2","Clustering / aggregation",IF(F414="P3","Agitation",IF(F414="P4","Lethargy",IF(F414="P5","Jumping / splashing",IF(F414="P6","Reactivity to noise"))))))</f>
        <v>0</v>
      </c>
      <c r="H414" s="7" t="b">
        <f>IF(F414="P1","Regular swimming, even distribution",IF(F414="P2","Fish grouped in one corner",IF(F414="P3","Rapid swimming, escape behavior",IF(F414="P4","Little movement",IF(F414="P5","Jumping out of the water",IF(F414="P6","Reaction to a tool or impact"))))))</f>
        <v>0</v>
      </c>
      <c r="I414" s="6" t="s">
        <v>275</v>
      </c>
    </row>
    <row r="415" spans="1:9" x14ac:dyDescent="0.35">
      <c r="A415" s="4">
        <v>46171</v>
      </c>
      <c r="B415" s="10">
        <v>0.55555555555555558</v>
      </c>
      <c r="C415" s="10">
        <v>0.55694444444444446</v>
      </c>
      <c r="D415" s="5">
        <f>C415-B415</f>
        <v>1.388888888888884E-3</v>
      </c>
      <c r="E415" s="6" t="s">
        <v>27</v>
      </c>
      <c r="F415" s="7" t="s">
        <v>9</v>
      </c>
      <c r="G415" s="7" t="str">
        <f>IF(F415="P1","Normal activity",IF(F415="P2","Clustering / aggregation",IF(F415="P3","Agitation",IF(F415="P4","Lethargy",IF(F415="P5","Jumping / splashing",IF(F415="P6","Reactivity to noise"))))))</f>
        <v>Normal activity</v>
      </c>
      <c r="H415" s="7" t="str">
        <f>IF(F415="P1","Regular swimming, even distribution",IF(F415="P2","Fish grouped in one corner",IF(F415="P3","Rapid swimming, escape behavior",IF(F415="P4","Little movement",IF(F415="P5","Jumping out of the water",IF(F415="P6","Reaction to a tool or impact"))))))</f>
        <v>Regular swimming, even distribution</v>
      </c>
      <c r="I415" s="6"/>
    </row>
    <row r="416" spans="1:9" x14ac:dyDescent="0.35">
      <c r="A416" s="4">
        <v>46171</v>
      </c>
      <c r="B416" s="10">
        <v>0.55694444444444446</v>
      </c>
      <c r="C416" s="10">
        <v>0.55833333333333335</v>
      </c>
      <c r="D416" s="5">
        <f>C416-B416</f>
        <v>1.388888888888884E-3</v>
      </c>
      <c r="E416" s="6" t="s">
        <v>28</v>
      </c>
      <c r="F416" s="7" t="s">
        <v>12</v>
      </c>
      <c r="G416" s="7" t="str">
        <f>IF(F416="P1","Normal activity",IF(F416="P2","Clustering / aggregation",IF(F416="P3","Agitation",IF(F416="P4","Lethargy",IF(F416="P5","Jumping / splashing",IF(F416="P6","Reactivity to noise"))))))</f>
        <v>Clustering / aggregation</v>
      </c>
      <c r="H416" s="7" t="str">
        <f>IF(F416="P1","Regular swimming, even distribution",IF(F416="P2","Fish grouped in one corner",IF(F416="P3","Rapid swimming, escape behavior",IF(F416="P4","Little movement",IF(F416="P5","Jumping out of the water",IF(F416="P6","Reaction to a tool or impact"))))))</f>
        <v>Fish grouped in one corner</v>
      </c>
      <c r="I416" s="6" t="s">
        <v>285</v>
      </c>
    </row>
    <row r="417" spans="1:9" x14ac:dyDescent="0.35">
      <c r="A417" s="4">
        <v>46171</v>
      </c>
      <c r="B417" s="10">
        <v>0.55694444444444446</v>
      </c>
      <c r="C417" s="10">
        <v>0.55833333333333335</v>
      </c>
      <c r="D417" s="5">
        <f>C417-B417</f>
        <v>1.388888888888884E-3</v>
      </c>
      <c r="E417" s="6" t="s">
        <v>28</v>
      </c>
      <c r="F417" s="7" t="s">
        <v>15</v>
      </c>
      <c r="G417" s="7" t="str">
        <f>IF(F417="P1","Normal activity",IF(F417="P2","Clustering / aggregation",IF(F417="P3","Agitation",IF(F417="P4","Lethargy",IF(F417="P5","Jumping / splashing",IF(F417="P6","Reactivity to noise"))))))</f>
        <v>Agitation</v>
      </c>
      <c r="H417" s="7" t="str">
        <f>IF(F417="P1","Regular swimming, even distribution",IF(F417="P2","Fish grouped in one corner",IF(F417="P3","Rapid swimming, escape behavior",IF(F417="P4","Little movement",IF(F417="P5","Jumping out of the water",IF(F417="P6","Reaction to a tool or impact"))))))</f>
        <v>Rapid swimming, escape behavior</v>
      </c>
      <c r="I417" s="6" t="s">
        <v>128</v>
      </c>
    </row>
    <row r="418" spans="1:9" x14ac:dyDescent="0.35">
      <c r="A418" s="4">
        <v>46171</v>
      </c>
      <c r="B418" s="10">
        <v>0.55833333333333335</v>
      </c>
      <c r="C418" s="10">
        <v>0.55972222222222223</v>
      </c>
      <c r="D418" s="5">
        <f>C418-B418</f>
        <v>1.388888888888884E-3</v>
      </c>
      <c r="E418" s="6" t="s">
        <v>29</v>
      </c>
      <c r="F418" s="7" t="s">
        <v>9</v>
      </c>
      <c r="G418" s="7" t="str">
        <f>IF(F418="P1","Normal activity",IF(F418="P2","Clustering / aggregation",IF(F418="P3","Agitation",IF(F418="P4","Lethargy",IF(F418="P5","Jumping / splashing",IF(F418="P6","Reactivity to noise"))))))</f>
        <v>Normal activity</v>
      </c>
      <c r="H418" s="7" t="str">
        <f>IF(F418="P1","Regular swimming, even distribution",IF(F418="P2","Fish grouped in one corner",IF(F418="P3","Rapid swimming, escape behavior",IF(F418="P4","Little movement",IF(F418="P5","Jumping out of the water",IF(F418="P6","Reaction to a tool or impact"))))))</f>
        <v>Regular swimming, even distribution</v>
      </c>
      <c r="I418" s="6"/>
    </row>
    <row r="419" spans="1:9" x14ac:dyDescent="0.35">
      <c r="A419" s="4">
        <v>46171</v>
      </c>
      <c r="B419" s="10">
        <v>0.55833333333333335</v>
      </c>
      <c r="C419" s="10">
        <v>0.55972222222222223</v>
      </c>
      <c r="D419" s="5">
        <f>C419-B419</f>
        <v>1.388888888888884E-3</v>
      </c>
      <c r="E419" s="6" t="s">
        <v>29</v>
      </c>
      <c r="F419" s="7" t="s">
        <v>15</v>
      </c>
      <c r="G419" s="7" t="str">
        <f>IF(F419="P1","Normal activity",IF(F419="P2","Clustering / aggregation",IF(F419="P3","Agitation",IF(F419="P4","Lethargy",IF(F419="P5","Jumping / splashing",IF(F419="P6","Reactivity to noise"))))))</f>
        <v>Agitation</v>
      </c>
      <c r="H419" s="7" t="str">
        <f>IF(F419="P1","Regular swimming, even distribution",IF(F419="P2","Fish grouped in one corner",IF(F419="P3","Rapid swimming, escape behavior",IF(F419="P4","Little movement",IF(F419="P5","Jumping out of the water",IF(F419="P6","Reaction to a tool or impact"))))))</f>
        <v>Rapid swimming, escape behavior</v>
      </c>
      <c r="I419" s="6" t="s">
        <v>128</v>
      </c>
    </row>
    <row r="420" spans="1:9" x14ac:dyDescent="0.35">
      <c r="A420" s="4">
        <v>46171</v>
      </c>
      <c r="B420" s="10">
        <v>0.55972222222222223</v>
      </c>
      <c r="C420" s="10">
        <v>0.56111111111111112</v>
      </c>
      <c r="D420" s="5">
        <f>C420-B420</f>
        <v>1.388888888888884E-3</v>
      </c>
      <c r="E420" s="6" t="s">
        <v>31</v>
      </c>
      <c r="F420" s="7" t="s">
        <v>9</v>
      </c>
      <c r="G420" s="7" t="str">
        <f>IF(F420="P1","Normal activity",IF(F420="P2","Clustering / aggregation",IF(F420="P3","Agitation",IF(F420="P4","Lethargy",IF(F420="P5","Jumping / splashing",IF(F420="P6","Reactivity to noise"))))))</f>
        <v>Normal activity</v>
      </c>
      <c r="H420" s="7" t="str">
        <f>IF(F420="P1","Regular swimming, even distribution",IF(F420="P2","Fish grouped in one corner",IF(F420="P3","Rapid swimming, escape behavior",IF(F420="P4","Little movement",IF(F420="P5","Jumping out of the water",IF(F420="P6","Reaction to a tool or impact"))))))</f>
        <v>Regular swimming, even distribution</v>
      </c>
      <c r="I420" s="6"/>
    </row>
    <row r="421" spans="1:9" x14ac:dyDescent="0.35">
      <c r="A421" s="4">
        <v>46171</v>
      </c>
      <c r="B421" s="10">
        <v>0.56111111111111112</v>
      </c>
      <c r="C421" s="10">
        <v>0.5625</v>
      </c>
      <c r="D421" s="5">
        <f>C421-B421</f>
        <v>1.388888888888884E-3</v>
      </c>
      <c r="E421" s="6" t="s">
        <v>274</v>
      </c>
      <c r="F421" s="7"/>
      <c r="G421" s="7" t="b">
        <f>IF(F421="P1","Normal activity",IF(F421="P2","Clustering / aggregation",IF(F421="P3","Agitation",IF(F421="P4","Lethargy",IF(F421="P5","Jumping / splashing",IF(F421="P6","Reactivity to noise"))))))</f>
        <v>0</v>
      </c>
      <c r="H421" s="7" t="b">
        <f>IF(F421="P1","Regular swimming, even distribution",IF(F421="P2","Fish grouped in one corner",IF(F421="P3","Rapid swimming, escape behavior",IF(F421="P4","Little movement",IF(F421="P5","Jumping out of the water",IF(F421="P6","Reaction to a tool or impact"))))))</f>
        <v>0</v>
      </c>
      <c r="I421" s="6" t="s">
        <v>275</v>
      </c>
    </row>
    <row r="422" spans="1:9" x14ac:dyDescent="0.35">
      <c r="A422" s="4">
        <v>46171</v>
      </c>
      <c r="B422" s="10">
        <v>0.5625</v>
      </c>
      <c r="C422" s="10">
        <v>0.56597222222222221</v>
      </c>
      <c r="D422" s="5">
        <f>C422-B422</f>
        <v>3.4722222222222099E-3</v>
      </c>
      <c r="E422" s="6"/>
      <c r="F422" s="7"/>
      <c r="G422" s="7" t="b">
        <f>IF(F422="P1","Normal activity",IF(F422="P2","Clustering / aggregation",IF(F422="P3","Agitation",IF(F422="P4","Lethargy",IF(F422="P5","Jumping / splashing",IF(F422="P6","Reactivity to noise"))))))</f>
        <v>0</v>
      </c>
      <c r="H422" s="7" t="b">
        <f>IF(F422="P1","Regular swimming, even distribution",IF(F422="P2","Fish grouped in one corner",IF(F422="P3","Rapid swimming, escape behavior",IF(F422="P4","Little movement",IF(F422="P5","Jumping out of the water",IF(F422="P6","Reaction to a tool or impact"))))))</f>
        <v>0</v>
      </c>
      <c r="I422" s="6" t="s">
        <v>235</v>
      </c>
    </row>
    <row r="423" spans="1:9" x14ac:dyDescent="0.35">
      <c r="A423" s="4">
        <v>46171</v>
      </c>
      <c r="B423" s="10">
        <v>0.56597222222222221</v>
      </c>
      <c r="C423" s="10">
        <v>0.56736111111111109</v>
      </c>
      <c r="D423" s="5">
        <f>C423-B423</f>
        <v>1.388888888888884E-3</v>
      </c>
      <c r="E423" s="6" t="s">
        <v>27</v>
      </c>
      <c r="F423" s="7" t="s">
        <v>9</v>
      </c>
      <c r="G423" s="7" t="str">
        <f>IF(F423="P1","Normal activity",IF(F423="P2","Clustering / aggregation",IF(F423="P3","Agitation",IF(F423="P4","Lethargy",IF(F423="P5","Jumping / splashing",IF(F423="P6","Reactivity to noise"))))))</f>
        <v>Normal activity</v>
      </c>
      <c r="H423" s="7" t="str">
        <f>IF(F423="P1","Regular swimming, even distribution",IF(F423="P2","Fish grouped in one corner",IF(F423="P3","Rapid swimming, escape behavior",IF(F423="P4","Little movement",IF(F423="P5","Jumping out of the water",IF(F423="P6","Reaction to a tool or impact"))))))</f>
        <v>Regular swimming, even distribution</v>
      </c>
      <c r="I423" s="6"/>
    </row>
    <row r="424" spans="1:9" x14ac:dyDescent="0.35">
      <c r="A424" s="4">
        <v>46171</v>
      </c>
      <c r="B424" s="10">
        <v>0.56736111111111109</v>
      </c>
      <c r="C424" s="10">
        <v>0.56874999999999998</v>
      </c>
      <c r="D424" s="5">
        <f>C424-B424</f>
        <v>1.388888888888884E-3</v>
      </c>
      <c r="E424" s="6" t="s">
        <v>28</v>
      </c>
      <c r="F424" s="7" t="s">
        <v>18</v>
      </c>
      <c r="G424" s="7" t="str">
        <f>IF(F424="P1","Normal activity",IF(F424="P2","Clustering / aggregation",IF(F424="P3","Agitation",IF(F424="P4","Lethargy",IF(F424="P5","Jumping / splashing",IF(F424="P6","Reactivity to noise"))))))</f>
        <v>Lethargy</v>
      </c>
      <c r="H424" s="7" t="str">
        <f>IF(F424="P1","Regular swimming, even distribution",IF(F424="P2","Fish grouped in one corner",IF(F424="P3","Rapid swimming, escape behavior",IF(F424="P4","Little movement",IF(F424="P5","Jumping out of the water",IF(F424="P6","Reaction to a tool or impact"))))))</f>
        <v>Little movement</v>
      </c>
      <c r="I424" s="6" t="s">
        <v>123</v>
      </c>
    </row>
    <row r="425" spans="1:9" x14ac:dyDescent="0.35">
      <c r="A425" s="4">
        <v>46171</v>
      </c>
      <c r="B425" s="10">
        <v>0.56874999999999998</v>
      </c>
      <c r="C425" s="10">
        <v>0.57013888888888886</v>
      </c>
      <c r="D425" s="5">
        <f>C425-B425</f>
        <v>1.388888888888884E-3</v>
      </c>
      <c r="E425" s="6" t="s">
        <v>29</v>
      </c>
      <c r="F425" s="7" t="s">
        <v>9</v>
      </c>
      <c r="G425" s="7" t="str">
        <f>IF(F425="P1","Normal activity",IF(F425="P2","Clustering / aggregation",IF(F425="P3","Agitation",IF(F425="P4","Lethargy",IF(F425="P5","Jumping / splashing",IF(F425="P6","Reactivity to noise"))))))</f>
        <v>Normal activity</v>
      </c>
      <c r="H425" s="7" t="str">
        <f>IF(F425="P1","Regular swimming, even distribution",IF(F425="P2","Fish grouped in one corner",IF(F425="P3","Rapid swimming, escape behavior",IF(F425="P4","Little movement",IF(F425="P5","Jumping out of the water",IF(F425="P6","Reaction to a tool or impact"))))))</f>
        <v>Regular swimming, even distribution</v>
      </c>
      <c r="I425" s="6"/>
    </row>
    <row r="426" spans="1:9" x14ac:dyDescent="0.35">
      <c r="A426" s="4">
        <v>46171</v>
      </c>
      <c r="B426" s="10">
        <v>0.57013888888888886</v>
      </c>
      <c r="C426" s="10">
        <v>0.57152777777777775</v>
      </c>
      <c r="D426" s="5">
        <f>C426-B426</f>
        <v>1.388888888888884E-3</v>
      </c>
      <c r="E426" s="6" t="s">
        <v>31</v>
      </c>
      <c r="F426" s="7" t="s">
        <v>9</v>
      </c>
      <c r="G426" s="7" t="str">
        <f>IF(F426="P1","Normal activity",IF(F426="P2","Clustering / aggregation",IF(F426="P3","Agitation",IF(F426="P4","Lethargy",IF(F426="P5","Jumping / splashing",IF(F426="P6","Reactivity to noise"))))))</f>
        <v>Normal activity</v>
      </c>
      <c r="H426" s="7" t="str">
        <f>IF(F426="P1","Regular swimming, even distribution",IF(F426="P2","Fish grouped in one corner",IF(F426="P3","Rapid swimming, escape behavior",IF(F426="P4","Little movement",IF(F426="P5","Jumping out of the water",IF(F426="P6","Reaction to a tool or impact"))))))</f>
        <v>Regular swimming, even distribution</v>
      </c>
      <c r="I426" s="6"/>
    </row>
    <row r="427" spans="1:9" x14ac:dyDescent="0.35">
      <c r="A427" s="4">
        <v>46171</v>
      </c>
      <c r="B427" s="10">
        <v>0.57013888888888886</v>
      </c>
      <c r="C427" s="10">
        <v>0.57152777777777775</v>
      </c>
      <c r="D427" s="5">
        <f>C427-B427</f>
        <v>1.388888888888884E-3</v>
      </c>
      <c r="E427" s="6" t="s">
        <v>31</v>
      </c>
      <c r="F427" s="7" t="s">
        <v>15</v>
      </c>
      <c r="G427" s="7" t="str">
        <f>IF(F427="P1","Normal activity",IF(F427="P2","Clustering / aggregation",IF(F427="P3","Agitation",IF(F427="P4","Lethargy",IF(F427="P5","Jumping / splashing",IF(F427="P6","Reactivity to noise"))))))</f>
        <v>Agitation</v>
      </c>
      <c r="H427" s="7" t="str">
        <f>IF(F427="P1","Regular swimming, even distribution",IF(F427="P2","Fish grouped in one corner",IF(F427="P3","Rapid swimming, escape behavior",IF(F427="P4","Little movement",IF(F427="P5","Jumping out of the water",IF(F427="P6","Reaction to a tool or impact"))))))</f>
        <v>Rapid swimming, escape behavior</v>
      </c>
      <c r="I427" s="6" t="s">
        <v>128</v>
      </c>
    </row>
    <row r="428" spans="1:9" x14ac:dyDescent="0.35">
      <c r="A428" s="4">
        <v>46171</v>
      </c>
      <c r="B428" s="10">
        <v>0.5708333333333333</v>
      </c>
      <c r="C428" s="10">
        <v>0.57291666666666663</v>
      </c>
      <c r="D428" s="5">
        <f>C428-B428</f>
        <v>2.0833333333333259E-3</v>
      </c>
      <c r="E428" s="7" t="s">
        <v>274</v>
      </c>
      <c r="F428" s="7"/>
      <c r="G428" s="7" t="b">
        <f>IF(F428="P1","Normal activity",IF(F428="P2","Clustering / aggregation",IF(F428="P3","Agitation",IF(F428="P4","Lethargy",IF(F428="P5","Jumping / splashing",IF(F428="P6","Reactivity to noise"))))))</f>
        <v>0</v>
      </c>
      <c r="H428" s="7" t="b">
        <f>IF(F428="P1","Regular swimming, even distribution",IF(F428="P2","Fish grouped in one corner",IF(F428="P3","Rapid swimming, escape behavior",IF(F428="P4","Little movement",IF(F428="P5","Jumping out of the water",IF(F428="P6","Reaction to a tool or impact"))))))</f>
        <v>0</v>
      </c>
      <c r="I428" s="6" t="s">
        <v>275</v>
      </c>
    </row>
    <row r="429" spans="1:9" x14ac:dyDescent="0.35">
      <c r="A429" s="13">
        <v>46176</v>
      </c>
      <c r="B429" s="10">
        <v>0.37569444444444444</v>
      </c>
      <c r="C429" s="10">
        <v>0.38263888888888886</v>
      </c>
      <c r="D429" s="5">
        <f>C429-B429</f>
        <v>6.9444444444444198E-3</v>
      </c>
      <c r="E429" s="6" t="s">
        <v>27</v>
      </c>
      <c r="F429" s="7" t="s">
        <v>12</v>
      </c>
      <c r="G429" s="7" t="str">
        <f>IF(F429="P1","Normal activity",IF(F429="P2","Clustering / aggregation",IF(F429="P3","Agitation",IF(F429="P4","Lethargy",IF(F429="P5","Jumping / splashing",IF(F429="P6","Reactivity to noise"))))))</f>
        <v>Clustering / aggregation</v>
      </c>
      <c r="H429" s="7" t="str">
        <f>IF(F429="P1","Regular swimming, even distribution",IF(F429="P2","Fish grouped in one corner",IF(F429="P3","Rapid swimming, escape behavior",IF(F429="P4","Little movement",IF(F429="P5","Jumping out of the water",IF(F429="P6","Reaction to a tool or impact"))))))</f>
        <v>Fish grouped in one corner</v>
      </c>
      <c r="I429" s="6" t="s">
        <v>286</v>
      </c>
    </row>
    <row r="430" spans="1:9" x14ac:dyDescent="0.35">
      <c r="A430" s="13">
        <v>46176</v>
      </c>
      <c r="B430" s="10">
        <v>0.37569444444444444</v>
      </c>
      <c r="C430" s="10">
        <v>0.38263888888888886</v>
      </c>
      <c r="D430" s="5">
        <f>C430-B430</f>
        <v>6.9444444444444198E-3</v>
      </c>
      <c r="E430" s="6" t="s">
        <v>27</v>
      </c>
      <c r="F430" s="7" t="s">
        <v>9</v>
      </c>
      <c r="G430" s="7" t="str">
        <f>IF(F430="P1","Normal activity",IF(F430="P2","Clustering / aggregation",IF(F430="P3","Agitation",IF(F430="P4","Lethargy",IF(F430="P5","Jumping / splashing",IF(F430="P6","Reactivity to noise"))))))</f>
        <v>Normal activity</v>
      </c>
      <c r="H430" s="7" t="str">
        <f>IF(F430="P1","Regular swimming, even distribution",IF(F430="P2","Fish grouped in one corner",IF(F430="P3","Rapid swimming, escape behavior",IF(F430="P4","Little movement",IF(F430="P5","Jumping out of the water",IF(F430="P6","Reaction to a tool or impact"))))))</f>
        <v>Regular swimming, even distribution</v>
      </c>
      <c r="I430" s="6" t="s">
        <v>287</v>
      </c>
    </row>
    <row r="431" spans="1:9" x14ac:dyDescent="0.35">
      <c r="A431" s="13">
        <v>46176</v>
      </c>
      <c r="B431" s="10">
        <v>0.37569444444444444</v>
      </c>
      <c r="C431" s="10">
        <v>0.38263888888888886</v>
      </c>
      <c r="D431" s="5">
        <f>C431-B431</f>
        <v>6.9444444444444198E-3</v>
      </c>
      <c r="E431" s="6" t="s">
        <v>28</v>
      </c>
      <c r="F431" s="7" t="s">
        <v>9</v>
      </c>
      <c r="G431" s="7" t="str">
        <f>IF(F431="P1","Normal activity",IF(F431="P2","Clustering / aggregation",IF(F431="P3","Agitation",IF(F431="P4","Lethargy",IF(F431="P5","Jumping / splashing",IF(F431="P6","Reactivity to noise"))))))</f>
        <v>Normal activity</v>
      </c>
      <c r="H431" s="7" t="str">
        <f>IF(F431="P1","Regular swimming, even distribution",IF(F431="P2","Fish grouped in one corner",IF(F431="P3","Rapid swimming, escape behavior",IF(F431="P4","Little movement",IF(F431="P5","Jumping out of the water",IF(F431="P6","Reaction to a tool or impact"))))))</f>
        <v>Regular swimming, even distribution</v>
      </c>
      <c r="I431" s="6" t="s">
        <v>288</v>
      </c>
    </row>
    <row r="432" spans="1:9" x14ac:dyDescent="0.35">
      <c r="A432" s="13">
        <v>46176</v>
      </c>
      <c r="B432" s="10">
        <v>0.37569444444444444</v>
      </c>
      <c r="C432" s="10">
        <v>0.38263888888888886</v>
      </c>
      <c r="D432" s="5">
        <f>C432-B432</f>
        <v>6.9444444444444198E-3</v>
      </c>
      <c r="E432" s="6" t="s">
        <v>28</v>
      </c>
      <c r="F432" s="7" t="s">
        <v>15</v>
      </c>
      <c r="G432" s="7" t="str">
        <f>IF(F432="P1","Normal activity",IF(F432="P2","Clustering / aggregation",IF(F432="P3","Agitation",IF(F432="P4","Lethargy",IF(F432="P5","Jumping / splashing",IF(F432="P6","Reactivity to noise"))))))</f>
        <v>Agitation</v>
      </c>
      <c r="H432" s="7" t="str">
        <f>IF(F432="P1","Regular swimming, even distribution",IF(F432="P2","Fish grouped in one corner",IF(F432="P3","Rapid swimming, escape behavior",IF(F432="P4","Little movement",IF(F432="P5","Jumping out of the water",IF(F432="P6","Reaction to a tool or impact"))))))</f>
        <v>Rapid swimming, escape behavior</v>
      </c>
      <c r="I432" s="10" t="s">
        <v>289</v>
      </c>
    </row>
    <row r="433" spans="1:10" x14ac:dyDescent="0.35">
      <c r="A433" s="13">
        <v>46176</v>
      </c>
      <c r="B433" s="10">
        <v>0.37569444444444444</v>
      </c>
      <c r="C433" s="10">
        <v>0.38263888888888886</v>
      </c>
      <c r="D433" s="5">
        <f>C433-B433</f>
        <v>6.9444444444444198E-3</v>
      </c>
      <c r="E433" s="6" t="s">
        <v>29</v>
      </c>
      <c r="F433" s="7" t="s">
        <v>9</v>
      </c>
      <c r="G433" s="7" t="str">
        <f>IF(F433="P1","Normal activity",IF(F433="P2","Clustering / aggregation",IF(F433="P3","Agitation",IF(F433="P4","Lethargy",IF(F433="P5","Jumping / splashing",IF(F433="P6","Reactivity to noise"))))))</f>
        <v>Normal activity</v>
      </c>
      <c r="H433" s="7" t="str">
        <f>IF(F433="P1","Regular swimming, even distribution",IF(F433="P2","Fish grouped in one corner",IF(F433="P3","Rapid swimming, escape behavior",IF(F433="P4","Little movement",IF(F433="P5","Jumping out of the water",IF(F433="P6","Reaction to a tool or impact"))))))</f>
        <v>Regular swimming, even distribution</v>
      </c>
      <c r="I433" s="6" t="s">
        <v>288</v>
      </c>
      <c r="J433">
        <v>1</v>
      </c>
    </row>
    <row r="434" spans="1:10" x14ac:dyDescent="0.35">
      <c r="A434" s="13">
        <v>46176</v>
      </c>
      <c r="B434" s="10">
        <v>0.37569444444444444</v>
      </c>
      <c r="C434" s="10">
        <v>0.38263888888888886</v>
      </c>
      <c r="D434" s="5">
        <f>C434-B434</f>
        <v>6.9444444444444198E-3</v>
      </c>
      <c r="E434" s="6" t="s">
        <v>29</v>
      </c>
      <c r="F434" s="7" t="s">
        <v>15</v>
      </c>
      <c r="G434" s="7" t="str">
        <f>IF(F434="P1","Normal activity",IF(F434="P2","Clustering / aggregation",IF(F434="P3","Agitation",IF(F434="P4","Lethargy",IF(F434="P5","Jumping / splashing",IF(F434="P6","Reactivity to noise"))))))</f>
        <v>Agitation</v>
      </c>
      <c r="H434" s="7" t="str">
        <f>IF(F434="P1","Regular swimming, even distribution",IF(F434="P2","Fish grouped in one corner",IF(F434="P3","Rapid swimming, escape behavior",IF(F434="P4","Little movement",IF(F434="P5","Jumping out of the water",IF(F434="P6","Reaction to a tool or impact"))))))</f>
        <v>Rapid swimming, escape behavior</v>
      </c>
      <c r="I434" s="6" t="s">
        <v>290</v>
      </c>
    </row>
    <row r="435" spans="1:10" x14ac:dyDescent="0.35">
      <c r="A435" s="13">
        <v>46176</v>
      </c>
      <c r="B435" s="10">
        <v>0.37569444444444444</v>
      </c>
      <c r="C435" s="10">
        <v>0.38263888888888886</v>
      </c>
      <c r="D435" s="5">
        <f>C435-B435</f>
        <v>6.9444444444444198E-3</v>
      </c>
      <c r="E435" s="6" t="s">
        <v>31</v>
      </c>
      <c r="F435" s="7" t="s">
        <v>15</v>
      </c>
      <c r="G435" s="7" t="str">
        <f>IF(F435="P1","Normal activity",IF(F435="P2","Clustering / aggregation",IF(F435="P3","Agitation",IF(F435="P4","Lethargy",IF(F435="P5","Jumping / splashing",IF(F435="P6","Reactivity to noise"))))))</f>
        <v>Agitation</v>
      </c>
      <c r="H435" s="7" t="str">
        <f>IF(F435="P1","Regular swimming, even distribution",IF(F435="P2","Fish grouped in one corner",IF(F435="P3","Rapid swimming, escape behavior",IF(F435="P4","Little movement",IF(F435="P5","Jumping out of the water",IF(F435="P6","Reaction to a tool or impact"))))))</f>
        <v>Rapid swimming, escape behavior</v>
      </c>
      <c r="I435" s="6" t="s">
        <v>291</v>
      </c>
    </row>
    <row r="436" spans="1:10" x14ac:dyDescent="0.35">
      <c r="A436" s="13">
        <v>46176</v>
      </c>
      <c r="B436" s="10">
        <v>0.37569444444444444</v>
      </c>
      <c r="C436" s="10">
        <v>0.38263888888888886</v>
      </c>
      <c r="D436" s="5">
        <f>C436-B436</f>
        <v>6.9444444444444198E-3</v>
      </c>
      <c r="E436" s="6" t="s">
        <v>31</v>
      </c>
      <c r="F436" s="7" t="s">
        <v>9</v>
      </c>
      <c r="G436" s="7" t="str">
        <f>IF(F436="P1","Normal activity",IF(F436="P2","Clustering / aggregation",IF(F436="P3","Agitation",IF(F436="P4","Lethargy",IF(F436="P5","Jumping / splashing",IF(F436="P6","Reactivity to noise"))))))</f>
        <v>Normal activity</v>
      </c>
      <c r="H436" s="7" t="str">
        <f>IF(F436="P1","Regular swimming, even distribution",IF(F436="P2","Fish grouped in one corner",IF(F436="P3","Rapid swimming, escape behavior",IF(F436="P4","Little movement",IF(F436="P5","Jumping out of the water",IF(F436="P6","Reaction to a tool or impact"))))))</f>
        <v>Regular swimming, even distribution</v>
      </c>
      <c r="I436" s="6" t="s">
        <v>292</v>
      </c>
    </row>
    <row r="437" spans="1:10" x14ac:dyDescent="0.35">
      <c r="A437" s="13">
        <v>46176</v>
      </c>
      <c r="B437" s="10">
        <v>0.38333333333333336</v>
      </c>
      <c r="C437" s="10">
        <v>0.38680555555555557</v>
      </c>
      <c r="D437" s="5">
        <f>C437-B437</f>
        <v>3.4722222222222099E-3</v>
      </c>
      <c r="E437" s="6"/>
      <c r="F437" s="7"/>
      <c r="G437" s="7" t="b">
        <f>IF(F437="P1","Normal activity",IF(F437="P2","Clustering / aggregation",IF(F437="P3","Agitation",IF(F437="P4","Lethargy",IF(F437="P5","Jumping / splashing",IF(F437="P6","Reactivity to noise"))))))</f>
        <v>0</v>
      </c>
      <c r="H437" s="7" t="b">
        <f>IF(F437="P1","Regular swimming, even distribution",IF(F437="P2","Fish grouped in one corner",IF(F437="P3","Rapid swimming, escape behavior",IF(F437="P4","Little movement",IF(F437="P5","Jumping out of the water",IF(F437="P6","Reaction to a tool or impact"))))))</f>
        <v>0</v>
      </c>
      <c r="I437" s="6" t="s">
        <v>293</v>
      </c>
    </row>
    <row r="438" spans="1:10" x14ac:dyDescent="0.35">
      <c r="A438" s="13">
        <v>46176</v>
      </c>
      <c r="B438" s="10">
        <v>0.38750000000000001</v>
      </c>
      <c r="C438" s="10">
        <v>0.39444444444444443</v>
      </c>
      <c r="D438" s="5">
        <f>C438-B438</f>
        <v>6.9444444444444198E-3</v>
      </c>
      <c r="E438" s="6" t="s">
        <v>27</v>
      </c>
      <c r="F438" s="7" t="s">
        <v>12</v>
      </c>
      <c r="G438" s="7" t="str">
        <f>IF(F438="P1","Normal activity",IF(F438="P2","Clustering / aggregation",IF(F438="P3","Agitation",IF(F438="P4","Lethargy",IF(F438="P5","Jumping / splashing",IF(F438="P6","Reactivity to noise"))))))</f>
        <v>Clustering / aggregation</v>
      </c>
      <c r="H438" s="7" t="str">
        <f>IF(F438="P1","Regular swimming, even distribution",IF(F438="P2","Fish grouped in one corner",IF(F438="P3","Rapid swimming, escape behavior",IF(F438="P4","Little movement",IF(F438="P5","Jumping out of the water",IF(F438="P6","Reaction to a tool or impact"))))))</f>
        <v>Fish grouped in one corner</v>
      </c>
      <c r="I438" s="6" t="s">
        <v>294</v>
      </c>
    </row>
    <row r="439" spans="1:10" x14ac:dyDescent="0.35">
      <c r="A439" s="13">
        <v>46176</v>
      </c>
      <c r="B439" s="10">
        <v>0.38750000000000001</v>
      </c>
      <c r="C439" s="10">
        <v>0.39444444444444443</v>
      </c>
      <c r="D439" s="5">
        <f>C439-B439</f>
        <v>6.9444444444444198E-3</v>
      </c>
      <c r="E439" s="6" t="s">
        <v>28</v>
      </c>
      <c r="F439" s="7" t="s">
        <v>12</v>
      </c>
      <c r="G439" s="7" t="str">
        <f>IF(F439="P1","Normal activity",IF(F439="P2","Clustering / aggregation",IF(F439="P3","Agitation",IF(F439="P4","Lethargy",IF(F439="P5","Jumping / splashing",IF(F439="P6","Reactivity to noise"))))))</f>
        <v>Clustering / aggregation</v>
      </c>
      <c r="H439" s="7" t="str">
        <f>IF(F439="P1","Regular swimming, even distribution",IF(F439="P2","Fish grouped in one corner",IF(F439="P3","Rapid swimming, escape behavior",IF(F439="P4","Little movement",IF(F439="P5","Jumping out of the water",IF(F439="P6","Reaction to a tool or impact"))))))</f>
        <v>Fish grouped in one corner</v>
      </c>
      <c r="I439" s="6" t="s">
        <v>295</v>
      </c>
    </row>
    <row r="440" spans="1:10" x14ac:dyDescent="0.35">
      <c r="A440" s="13">
        <v>46176</v>
      </c>
      <c r="B440" s="10">
        <v>0.38750000000000001</v>
      </c>
      <c r="C440" s="10">
        <v>0.39444444444444443</v>
      </c>
      <c r="D440" s="5">
        <f>C440-B440</f>
        <v>6.9444444444444198E-3</v>
      </c>
      <c r="E440" s="6" t="s">
        <v>28</v>
      </c>
      <c r="F440" s="7" t="s">
        <v>15</v>
      </c>
      <c r="G440" s="7" t="str">
        <f>IF(F440="P1","Normal activity",IF(F440="P2","Clustering / aggregation",IF(F440="P3","Agitation",IF(F440="P4","Lethargy",IF(F440="P5","Jumping / splashing",IF(F440="P6","Reactivity to noise"))))))</f>
        <v>Agitation</v>
      </c>
      <c r="H440" s="7" t="str">
        <f>IF(F440="P1","Regular swimming, even distribution",IF(F440="P2","Fish grouped in one corner",IF(F440="P3","Rapid swimming, escape behavior",IF(F440="P4","Little movement",IF(F440="P5","Jumping out of the water",IF(F440="P6","Reaction to a tool or impact"))))))</f>
        <v>Rapid swimming, escape behavior</v>
      </c>
      <c r="I440" s="6" t="s">
        <v>296</v>
      </c>
    </row>
    <row r="441" spans="1:10" x14ac:dyDescent="0.35">
      <c r="A441" s="13">
        <v>46176</v>
      </c>
      <c r="B441" s="10">
        <v>0.38750000000000001</v>
      </c>
      <c r="C441" s="10">
        <v>0.39444444444444443</v>
      </c>
      <c r="D441" s="5">
        <f>C441-B441</f>
        <v>6.9444444444444198E-3</v>
      </c>
      <c r="E441" s="6" t="s">
        <v>29</v>
      </c>
      <c r="F441" s="7" t="s">
        <v>9</v>
      </c>
      <c r="G441" s="7" t="str">
        <f>IF(F441="P1","Normal activity",IF(F441="P2","Clustering / aggregation",IF(F441="P3","Agitation",IF(F441="P4","Lethargy",IF(F441="P5","Jumping / splashing",IF(F441="P6","Reactivity to noise"))))))</f>
        <v>Normal activity</v>
      </c>
      <c r="H441" s="7" t="str">
        <f>IF(F441="P1","Regular swimming, even distribution",IF(F441="P2","Fish grouped in one corner",IF(F441="P3","Rapid swimming, escape behavior",IF(F441="P4","Little movement",IF(F441="P5","Jumping out of the water",IF(F441="P6","Reaction to a tool or impact"))))))</f>
        <v>Regular swimming, even distribution</v>
      </c>
      <c r="I441" s="6" t="s">
        <v>297</v>
      </c>
    </row>
    <row r="442" spans="1:10" x14ac:dyDescent="0.35">
      <c r="A442" s="13">
        <v>46176</v>
      </c>
      <c r="B442" s="10">
        <v>0.38750000000000001</v>
      </c>
      <c r="C442" s="10">
        <v>0.39444444444444443</v>
      </c>
      <c r="D442" s="5">
        <f>C442-B442</f>
        <v>6.9444444444444198E-3</v>
      </c>
      <c r="E442" s="6" t="s">
        <v>29</v>
      </c>
      <c r="F442" s="7" t="s">
        <v>15</v>
      </c>
      <c r="G442" s="7" t="str">
        <f>IF(F442="P1","Normal activity",IF(F442="P2","Clustering / aggregation",IF(F442="P3","Agitation",IF(F442="P4","Lethargy",IF(F442="P5","Jumping / splashing",IF(F442="P6","Reactivity to noise"))))))</f>
        <v>Agitation</v>
      </c>
      <c r="H442" s="7" t="str">
        <f>IF(F442="P1","Regular swimming, even distribution",IF(F442="P2","Fish grouped in one corner",IF(F442="P3","Rapid swimming, escape behavior",IF(F442="P4","Little movement",IF(F442="P5","Jumping out of the water",IF(F442="P6","Reaction to a tool or impact"))))))</f>
        <v>Rapid swimming, escape behavior</v>
      </c>
      <c r="I442" s="6" t="s">
        <v>298</v>
      </c>
    </row>
    <row r="443" spans="1:10" x14ac:dyDescent="0.35">
      <c r="A443" s="13">
        <v>46176</v>
      </c>
      <c r="B443" s="10">
        <v>0.38750000000000001</v>
      </c>
      <c r="C443" s="10">
        <v>0.39444444444444443</v>
      </c>
      <c r="D443" s="5">
        <f>C443-B443</f>
        <v>6.9444444444444198E-3</v>
      </c>
      <c r="E443" s="6" t="s">
        <v>31</v>
      </c>
      <c r="F443" s="7" t="s">
        <v>9</v>
      </c>
      <c r="G443" s="7" t="str">
        <f>IF(F443="P1","Normal activity",IF(F443="P2","Clustering / aggregation",IF(F443="P3","Agitation",IF(F443="P4","Lethargy",IF(F443="P5","Jumping / splashing",IF(F443="P6","Reactivity to noise"))))))</f>
        <v>Normal activity</v>
      </c>
      <c r="H443" s="7" t="str">
        <f>IF(F443="P1","Regular swimming, even distribution",IF(F443="P2","Fish grouped in one corner",IF(F443="P3","Rapid swimming, escape behavior",IF(F443="P4","Little movement",IF(F443="P5","Jumping out of the water",IF(F443="P6","Reaction to a tool or impact"))))))</f>
        <v>Regular swimming, even distribution</v>
      </c>
      <c r="I443" s="6" t="s">
        <v>299</v>
      </c>
    </row>
    <row r="444" spans="1:10" x14ac:dyDescent="0.35">
      <c r="A444" s="13">
        <v>46176</v>
      </c>
      <c r="B444" s="10">
        <v>0.38750000000000001</v>
      </c>
      <c r="C444" s="10">
        <v>0.39444444444444443</v>
      </c>
      <c r="D444" s="5">
        <f>C444-B444</f>
        <v>6.9444444444444198E-3</v>
      </c>
      <c r="E444" s="6" t="s">
        <v>31</v>
      </c>
      <c r="F444" s="7" t="s">
        <v>12</v>
      </c>
      <c r="G444" s="7" t="str">
        <f>IF(F444="P1","Normal activity",IF(F444="P2","Clustering / aggregation",IF(F444="P3","Agitation",IF(F444="P4","Lethargy",IF(F444="P5","Jumping / splashing",IF(F444="P6","Reactivity to noise"))))))</f>
        <v>Clustering / aggregation</v>
      </c>
      <c r="H444" s="7" t="str">
        <f>IF(F444="P1","Regular swimming, even distribution",IF(F444="P2","Fish grouped in one corner",IF(F444="P3","Rapid swimming, escape behavior",IF(F444="P4","Little movement",IF(F444="P5","Jumping out of the water",IF(F444="P6","Reaction to a tool or impact"))))))</f>
        <v>Fish grouped in one corner</v>
      </c>
      <c r="I444" s="6" t="s">
        <v>300</v>
      </c>
    </row>
    <row r="445" spans="1:10" x14ac:dyDescent="0.35">
      <c r="A445" s="13">
        <v>46176</v>
      </c>
      <c r="B445" s="10">
        <v>0.38750000000000001</v>
      </c>
      <c r="C445" s="10">
        <v>0.39444444444444443</v>
      </c>
      <c r="D445" s="5">
        <f>C445-B445</f>
        <v>6.9444444444444198E-3</v>
      </c>
      <c r="E445" s="6" t="s">
        <v>31</v>
      </c>
      <c r="F445" s="7" t="s">
        <v>15</v>
      </c>
      <c r="G445" s="7" t="str">
        <f>IF(F445="P1","Normal activity",IF(F445="P2","Clustering / aggregation",IF(F445="P3","Agitation",IF(F445="P4","Lethargy",IF(F445="P5","Jumping / splashing",IF(F445="P6","Reactivity to noise"))))))</f>
        <v>Agitation</v>
      </c>
      <c r="H445" s="7" t="str">
        <f>IF(F445="P1","Regular swimming, even distribution",IF(F445="P2","Fish grouped in one corner",IF(F445="P3","Rapid swimming, escape behavior",IF(F445="P4","Little movement",IF(F445="P5","Jumping out of the water",IF(F445="P6","Reaction to a tool or impact"))))))</f>
        <v>Rapid swimming, escape behavior</v>
      </c>
      <c r="I445" s="6" t="s">
        <v>301</v>
      </c>
    </row>
    <row r="446" spans="1:10" x14ac:dyDescent="0.35">
      <c r="A446" s="13">
        <v>46176</v>
      </c>
      <c r="B446" s="10">
        <v>0.44444444444444442</v>
      </c>
      <c r="C446" s="10">
        <v>0.4513888888888889</v>
      </c>
      <c r="D446" s="5">
        <f>C446-B446</f>
        <v>6.9444444444444753E-3</v>
      </c>
      <c r="E446" s="6" t="s">
        <v>27</v>
      </c>
      <c r="F446" s="7" t="s">
        <v>9</v>
      </c>
      <c r="G446" s="7" t="str">
        <f>IF(F446="P1","Normal activity",IF(F446="P2","Clustering / aggregation",IF(F446="P3","Agitation",IF(F446="P4","Lethargy",IF(F446="P5","Jumping / splashing",IF(F446="P6","Reactivity to noise"))))))</f>
        <v>Normal activity</v>
      </c>
      <c r="H446" s="7" t="str">
        <f>IF(F446="P1","Regular swimming, even distribution",IF(F446="P2","Fish grouped in one corner",IF(F446="P3","Rapid swimming, escape behavior",IF(F446="P4","Little movement",IF(F446="P5","Jumping out of the water",IF(F446="P6","Reaction to a tool or impact"))))))</f>
        <v>Regular swimming, even distribution</v>
      </c>
      <c r="I446" s="6" t="s">
        <v>302</v>
      </c>
    </row>
    <row r="447" spans="1:10" x14ac:dyDescent="0.35">
      <c r="A447" s="13">
        <v>46176</v>
      </c>
      <c r="B447" s="10">
        <v>0.44444444444444442</v>
      </c>
      <c r="C447" s="10">
        <v>0.4513888888888889</v>
      </c>
      <c r="D447" s="5">
        <f>C447-B447</f>
        <v>6.9444444444444753E-3</v>
      </c>
      <c r="E447" s="6" t="s">
        <v>27</v>
      </c>
      <c r="F447" s="7" t="s">
        <v>12</v>
      </c>
      <c r="G447" s="7" t="str">
        <f>IF(F447="P1","Normal activity",IF(F447="P2","Clustering / aggregation",IF(F447="P3","Agitation",IF(F447="P4","Lethargy",IF(F447="P5","Jumping / splashing",IF(F447="P6","Reactivity to noise"))))))</f>
        <v>Clustering / aggregation</v>
      </c>
      <c r="H447" s="7" t="str">
        <f>IF(F447="P1","Regular swimming, even distribution",IF(F447="P2","Fish grouped in one corner",IF(F447="P3","Rapid swimming, escape behavior",IF(F447="P4","Little movement",IF(F447="P5","Jumping out of the water",IF(F447="P6","Reaction to a tool or impact"))))))</f>
        <v>Fish grouped in one corner</v>
      </c>
      <c r="I447" s="6" t="s">
        <v>303</v>
      </c>
    </row>
    <row r="448" spans="1:10" x14ac:dyDescent="0.35">
      <c r="A448" s="13">
        <v>46176</v>
      </c>
      <c r="B448" s="10">
        <v>0.44444444444444442</v>
      </c>
      <c r="C448" s="10">
        <v>0.4513888888888889</v>
      </c>
      <c r="D448" s="5">
        <f>C448-B448</f>
        <v>6.9444444444444753E-3</v>
      </c>
      <c r="E448" s="6" t="s">
        <v>28</v>
      </c>
      <c r="F448" s="7" t="s">
        <v>12</v>
      </c>
      <c r="G448" s="7" t="str">
        <f>IF(F448="P1","Normal activity",IF(F448="P2","Clustering / aggregation",IF(F448="P3","Agitation",IF(F448="P4","Lethargy",IF(F448="P5","Jumping / splashing",IF(F448="P6","Reactivity to noise"))))))</f>
        <v>Clustering / aggregation</v>
      </c>
      <c r="H448" s="7" t="str">
        <f>IF(F448="P1","Regular swimming, even distribution",IF(F448="P2","Fish grouped in one corner",IF(F448="P3","Rapid swimming, escape behavior",IF(F448="P4","Little movement",IF(F448="P5","Jumping out of the water",IF(F448="P6","Reaction to a tool or impact"))))))</f>
        <v>Fish grouped in one corner</v>
      </c>
      <c r="I448" s="6" t="s">
        <v>304</v>
      </c>
    </row>
    <row r="449" spans="1:9" x14ac:dyDescent="0.35">
      <c r="A449" s="13">
        <v>46176</v>
      </c>
      <c r="B449" s="10">
        <v>0.44444444444444442</v>
      </c>
      <c r="C449" s="10">
        <v>0.4513888888888889</v>
      </c>
      <c r="D449" s="5">
        <f>C449-B449</f>
        <v>6.9444444444444753E-3</v>
      </c>
      <c r="E449" s="6" t="s">
        <v>28</v>
      </c>
      <c r="F449" s="7" t="s">
        <v>9</v>
      </c>
      <c r="G449" s="7" t="str">
        <f>IF(F449="P1","Normal activity",IF(F449="P2","Clustering / aggregation",IF(F449="P3","Agitation",IF(F449="P4","Lethargy",IF(F449="P5","Jumping / splashing",IF(F449="P6","Reactivity to noise"))))))</f>
        <v>Normal activity</v>
      </c>
      <c r="H449" s="7" t="str">
        <f>IF(F449="P1","Regular swimming, even distribution",IF(F449="P2","Fish grouped in one corner",IF(F449="P3","Rapid swimming, escape behavior",IF(F449="P4","Little movement",IF(F449="P5","Jumping out of the water",IF(F449="P6","Reaction to a tool or impact"))))))</f>
        <v>Regular swimming, even distribution</v>
      </c>
      <c r="I449" s="6" t="s">
        <v>305</v>
      </c>
    </row>
    <row r="450" spans="1:9" x14ac:dyDescent="0.35">
      <c r="A450" s="13">
        <v>46176</v>
      </c>
      <c r="B450" s="10">
        <v>0.44444444444444442</v>
      </c>
      <c r="C450" s="10">
        <v>0.4513888888888889</v>
      </c>
      <c r="D450" s="5">
        <f>C450-B450</f>
        <v>6.9444444444444753E-3</v>
      </c>
      <c r="E450" s="6" t="s">
        <v>29</v>
      </c>
      <c r="F450" s="7" t="s">
        <v>9</v>
      </c>
      <c r="G450" s="7" t="str">
        <f>IF(F450="P1","Normal activity",IF(F450="P2","Clustering / aggregation",IF(F450="P3","Agitation",IF(F450="P4","Lethargy",IF(F450="P5","Jumping / splashing",IF(F450="P6","Reactivity to noise"))))))</f>
        <v>Normal activity</v>
      </c>
      <c r="H450" s="7" t="str">
        <f>IF(F450="P1","Regular swimming, even distribution",IF(F450="P2","Fish grouped in one corner",IF(F450="P3","Rapid swimming, escape behavior",IF(F450="P4","Little movement",IF(F450="P5","Jumping out of the water",IF(F450="P6","Reaction to a tool or impact"))))))</f>
        <v>Regular swimming, even distribution</v>
      </c>
      <c r="I450" s="6" t="s">
        <v>297</v>
      </c>
    </row>
    <row r="451" spans="1:9" x14ac:dyDescent="0.35">
      <c r="A451" s="13">
        <v>46176</v>
      </c>
      <c r="B451" s="10">
        <v>0.44444444444444442</v>
      </c>
      <c r="C451" s="10">
        <v>0.4513888888888889</v>
      </c>
      <c r="D451" s="5">
        <f>C451-B451</f>
        <v>6.9444444444444753E-3</v>
      </c>
      <c r="E451" s="6" t="s">
        <v>31</v>
      </c>
      <c r="F451" s="7" t="s">
        <v>12</v>
      </c>
      <c r="G451" s="7" t="str">
        <f>IF(F451="P1","Normal activity",IF(F451="P2","Clustering / aggregation",IF(F451="P3","Agitation",IF(F451="P4","Lethargy",IF(F451="P5","Jumping / splashing",IF(F451="P6","Reactivity to noise"))))))</f>
        <v>Clustering / aggregation</v>
      </c>
      <c r="H451" s="7" t="str">
        <f>IF(F451="P1","Regular swimming, even distribution",IF(F451="P2","Fish grouped in one corner",IF(F451="P3","Rapid swimming, escape behavior",IF(F451="P4","Little movement",IF(F451="P5","Jumping out of the water",IF(F451="P6","Reaction to a tool or impact"))))))</f>
        <v>Fish grouped in one corner</v>
      </c>
      <c r="I451" s="6" t="s">
        <v>306</v>
      </c>
    </row>
    <row r="452" spans="1:9" x14ac:dyDescent="0.35">
      <c r="A452" s="13">
        <v>46176</v>
      </c>
      <c r="B452" s="10">
        <v>0.44444444444444442</v>
      </c>
      <c r="C452" s="10">
        <v>0.4513888888888889</v>
      </c>
      <c r="D452" s="5">
        <f>C452-B452</f>
        <v>6.9444444444444753E-3</v>
      </c>
      <c r="E452" s="6" t="s">
        <v>31</v>
      </c>
      <c r="F452" s="7" t="s">
        <v>9</v>
      </c>
      <c r="G452" s="7" t="str">
        <f>IF(F452="P1","Normal activity",IF(F452="P2","Clustering / aggregation",IF(F452="P3","Agitation",IF(F452="P4","Lethargy",IF(F452="P5","Jumping / splashing",IF(F452="P6","Reactivity to noise"))))))</f>
        <v>Normal activity</v>
      </c>
      <c r="H452" s="7" t="str">
        <f>IF(F452="P1","Regular swimming, even distribution",IF(F452="P2","Fish grouped in one corner",IF(F452="P3","Rapid swimming, escape behavior",IF(F452="P4","Little movement",IF(F452="P5","Jumping out of the water",IF(F452="P6","Reaction to a tool or impact"))))))</f>
        <v>Regular swimming, even distribution</v>
      </c>
      <c r="I452" s="6" t="s">
        <v>287</v>
      </c>
    </row>
    <row r="453" spans="1:9" x14ac:dyDescent="0.35">
      <c r="A453" s="13">
        <v>46176</v>
      </c>
      <c r="B453" s="10">
        <v>0.45208333333333334</v>
      </c>
      <c r="C453" s="10">
        <v>0.45555555555555555</v>
      </c>
      <c r="D453" s="5">
        <f>C453-B453</f>
        <v>3.4722222222222099E-3</v>
      </c>
      <c r="E453" s="6"/>
      <c r="F453" s="7"/>
      <c r="G453" s="7" t="b">
        <f>IF(F453="P1","Normal activity",IF(F453="P2","Clustering / aggregation",IF(F453="P3","Agitation",IF(F453="P4","Lethargy",IF(F453="P5","Jumping / splashing",IF(F453="P6","Reactivity to noise"))))))</f>
        <v>0</v>
      </c>
      <c r="H453" s="7" t="b">
        <f>IF(F453="P1","Regular swimming, even distribution",IF(F453="P2","Fish grouped in one corner",IF(F453="P3","Rapid swimming, escape behavior",IF(F453="P4","Little movement",IF(F453="P5","Jumping out of the water",IF(F453="P6","Reaction to a tool or impact"))))))</f>
        <v>0</v>
      </c>
      <c r="I453" s="6" t="s">
        <v>293</v>
      </c>
    </row>
    <row r="454" spans="1:9" x14ac:dyDescent="0.35">
      <c r="A454" s="13">
        <v>46176</v>
      </c>
      <c r="B454" s="10">
        <v>0.45624999999999999</v>
      </c>
      <c r="C454" s="10">
        <v>0.46319444444444446</v>
      </c>
      <c r="D454" s="5">
        <f>C454-B454</f>
        <v>6.9444444444444753E-3</v>
      </c>
      <c r="E454" s="6" t="s">
        <v>27</v>
      </c>
      <c r="F454" s="7" t="s">
        <v>12</v>
      </c>
      <c r="G454" s="7" t="str">
        <f>IF(F454="P1","Normal activity",IF(F454="P2","Clustering / aggregation",IF(F454="P3","Agitation",IF(F454="P4","Lethargy",IF(F454="P5","Jumping / splashing",IF(F454="P6","Reactivity to noise"))))))</f>
        <v>Clustering / aggregation</v>
      </c>
      <c r="H454" s="7" t="str">
        <f>IF(F454="P1","Regular swimming, even distribution",IF(F454="P2","Fish grouped in one corner",IF(F454="P3","Rapid swimming, escape behavior",IF(F454="P4","Little movement",IF(F454="P5","Jumping out of the water",IF(F454="P6","Reaction to a tool or impact"))))))</f>
        <v>Fish grouped in one corner</v>
      </c>
      <c r="I454" s="6" t="s">
        <v>307</v>
      </c>
    </row>
    <row r="455" spans="1:9" x14ac:dyDescent="0.35">
      <c r="A455" s="13">
        <v>46176</v>
      </c>
      <c r="B455" s="10">
        <v>0.45624999999999999</v>
      </c>
      <c r="C455" s="10">
        <v>0.46319444444444446</v>
      </c>
      <c r="D455" s="5">
        <f>C455-B455</f>
        <v>6.9444444444444753E-3</v>
      </c>
      <c r="E455" s="6" t="s">
        <v>27</v>
      </c>
      <c r="F455" s="7" t="s">
        <v>15</v>
      </c>
      <c r="G455" s="7" t="str">
        <f>IF(F455="P1","Normal activity",IF(F455="P2","Clustering / aggregation",IF(F455="P3","Agitation",IF(F455="P4","Lethargy",IF(F455="P5","Jumping / splashing",IF(F455="P6","Reactivity to noise"))))))</f>
        <v>Agitation</v>
      </c>
      <c r="H455" s="7" t="str">
        <f>IF(F455="P1","Regular swimming, even distribution",IF(F455="P2","Fish grouped in one corner",IF(F455="P3","Rapid swimming, escape behavior",IF(F455="P4","Little movement",IF(F455="P5","Jumping out of the water",IF(F455="P6","Reaction to a tool or impact"))))))</f>
        <v>Rapid swimming, escape behavior</v>
      </c>
      <c r="I455" s="6" t="s">
        <v>308</v>
      </c>
    </row>
    <row r="456" spans="1:9" x14ac:dyDescent="0.35">
      <c r="A456" s="13">
        <v>46176</v>
      </c>
      <c r="B456" s="10">
        <v>0.45624999999999999</v>
      </c>
      <c r="C456" s="10">
        <v>0.46319444444444446</v>
      </c>
      <c r="D456" s="5">
        <f>C456-B456</f>
        <v>6.9444444444444753E-3</v>
      </c>
      <c r="E456" s="6" t="s">
        <v>28</v>
      </c>
      <c r="F456" s="7" t="s">
        <v>12</v>
      </c>
      <c r="G456" s="7" t="str">
        <f>IF(F456="P1","Normal activity",IF(F456="P2","Clustering / aggregation",IF(F456="P3","Agitation",IF(F456="P4","Lethargy",IF(F456="P5","Jumping / splashing",IF(F456="P6","Reactivity to noise"))))))</f>
        <v>Clustering / aggregation</v>
      </c>
      <c r="H456" s="7" t="str">
        <f>IF(F456="P1","Regular swimming, even distribution",IF(F456="P2","Fish grouped in one corner",IF(F456="P3","Rapid swimming, escape behavior",IF(F456="P4","Little movement",IF(F456="P5","Jumping out of the water",IF(F456="P6","Reaction to a tool or impact"))))))</f>
        <v>Fish grouped in one corner</v>
      </c>
      <c r="I456" s="6" t="s">
        <v>309</v>
      </c>
    </row>
    <row r="457" spans="1:9" x14ac:dyDescent="0.35">
      <c r="A457" s="13">
        <v>46176</v>
      </c>
      <c r="B457" s="10">
        <v>0.45624999999999999</v>
      </c>
      <c r="C457" s="10">
        <v>0.46319444444444446</v>
      </c>
      <c r="D457" s="5">
        <f>C457-B457</f>
        <v>6.9444444444444753E-3</v>
      </c>
      <c r="E457" s="6" t="s">
        <v>28</v>
      </c>
      <c r="F457" s="7" t="s">
        <v>9</v>
      </c>
      <c r="G457" s="7" t="str">
        <f>IF(F457="P1","Normal activity",IF(F457="P2","Clustering / aggregation",IF(F457="P3","Agitation",IF(F457="P4","Lethargy",IF(F457="P5","Jumping / splashing",IF(F457="P6","Reactivity to noise"))))))</f>
        <v>Normal activity</v>
      </c>
      <c r="H457" s="7" t="str">
        <f>IF(F457="P1","Regular swimming, even distribution",IF(F457="P2","Fish grouped in one corner",IF(F457="P3","Rapid swimming, escape behavior",IF(F457="P4","Little movement",IF(F457="P5","Jumping out of the water",IF(F457="P6","Reaction to a tool or impact"))))))</f>
        <v>Regular swimming, even distribution</v>
      </c>
      <c r="I457" s="6" t="s">
        <v>310</v>
      </c>
    </row>
    <row r="458" spans="1:9" x14ac:dyDescent="0.35">
      <c r="A458" s="13">
        <v>46176</v>
      </c>
      <c r="B458" s="10">
        <v>0.45624999999999999</v>
      </c>
      <c r="C458" s="10">
        <v>0.46319444444444446</v>
      </c>
      <c r="D458" s="5">
        <f>C458-B458</f>
        <v>6.9444444444444753E-3</v>
      </c>
      <c r="E458" s="6" t="s">
        <v>29</v>
      </c>
      <c r="F458" s="7" t="s">
        <v>9</v>
      </c>
      <c r="G458" s="7" t="str">
        <f>IF(F458="P1","Normal activity",IF(F458="P2","Clustering / aggregation",IF(F458="P3","Agitation",IF(F458="P4","Lethargy",IF(F458="P5","Jumping / splashing",IF(F458="P6","Reactivity to noise"))))))</f>
        <v>Normal activity</v>
      </c>
      <c r="H458" s="7" t="str">
        <f>IF(F458="P1","Regular swimming, even distribution",IF(F458="P2","Fish grouped in one corner",IF(F458="P3","Rapid swimming, escape behavior",IF(F458="P4","Little movement",IF(F458="P5","Jumping out of the water",IF(F458="P6","Reaction to a tool or impact"))))))</f>
        <v>Regular swimming, even distribution</v>
      </c>
      <c r="I458" s="6" t="s">
        <v>311</v>
      </c>
    </row>
    <row r="459" spans="1:9" x14ac:dyDescent="0.35">
      <c r="A459" s="13">
        <v>46176</v>
      </c>
      <c r="B459" s="10">
        <v>0.45624999999999999</v>
      </c>
      <c r="C459" s="10">
        <v>0.46319444444444446</v>
      </c>
      <c r="D459" s="5">
        <f>C459-B459</f>
        <v>6.9444444444444753E-3</v>
      </c>
      <c r="E459" s="6" t="s">
        <v>29</v>
      </c>
      <c r="F459" s="7" t="s">
        <v>15</v>
      </c>
      <c r="G459" s="7" t="str">
        <f>IF(F459="P1","Normal activity",IF(F459="P2","Clustering / aggregation",IF(F459="P3","Agitation",IF(F459="P4","Lethargy",IF(F459="P5","Jumping / splashing",IF(F459="P6","Reactivity to noise"))))))</f>
        <v>Agitation</v>
      </c>
      <c r="H459" s="7" t="str">
        <f>IF(F459="P1","Regular swimming, even distribution",IF(F459="P2","Fish grouped in one corner",IF(F459="P3","Rapid swimming, escape behavior",IF(F459="P4","Little movement",IF(F459="P5","Jumping out of the water",IF(F459="P6","Reaction to a tool or impact"))))))</f>
        <v>Rapid swimming, escape behavior</v>
      </c>
      <c r="I459" s="6" t="s">
        <v>312</v>
      </c>
    </row>
    <row r="460" spans="1:9" x14ac:dyDescent="0.35">
      <c r="A460" s="13">
        <v>46176</v>
      </c>
      <c r="B460" s="10">
        <v>0.45624999999999999</v>
      </c>
      <c r="C460" s="10">
        <v>0.46319444444444446</v>
      </c>
      <c r="D460" s="5">
        <f>C460-B460</f>
        <v>6.9444444444444753E-3</v>
      </c>
      <c r="E460" s="6" t="s">
        <v>31</v>
      </c>
      <c r="F460" s="7" t="s">
        <v>12</v>
      </c>
      <c r="G460" s="7" t="str">
        <f>IF(F460="P1","Normal activity",IF(F460="P2","Clustering / aggregation",IF(F460="P3","Agitation",IF(F460="P4","Lethargy",IF(F460="P5","Jumping / splashing",IF(F460="P6","Reactivity to noise"))))))</f>
        <v>Clustering / aggregation</v>
      </c>
      <c r="H460" s="7" t="str">
        <f>IF(F460="P1","Regular swimming, even distribution",IF(F460="P2","Fish grouped in one corner",IF(F460="P3","Rapid swimming, escape behavior",IF(F460="P4","Little movement",IF(F460="P5","Jumping out of the water",IF(F460="P6","Reaction to a tool or impact"))))))</f>
        <v>Fish grouped in one corner</v>
      </c>
      <c r="I460" s="6" t="s">
        <v>313</v>
      </c>
    </row>
    <row r="461" spans="1:9" x14ac:dyDescent="0.35">
      <c r="A461" s="13">
        <v>46176</v>
      </c>
      <c r="B461" s="10">
        <v>0.45624999999999999</v>
      </c>
      <c r="C461" s="10">
        <v>0.46319444444444446</v>
      </c>
      <c r="D461" s="5">
        <f>C461-B461</f>
        <v>6.9444444444444753E-3</v>
      </c>
      <c r="E461" s="6" t="s">
        <v>31</v>
      </c>
      <c r="F461" s="7" t="s">
        <v>9</v>
      </c>
      <c r="G461" s="7" t="str">
        <f>IF(F461="P1","Normal activity",IF(F461="P2","Clustering / aggregation",IF(F461="P3","Agitation",IF(F461="P4","Lethargy",IF(F461="P5","Jumping / splashing",IF(F461="P6","Reactivity to noise"))))))</f>
        <v>Normal activity</v>
      </c>
      <c r="H461" s="7" t="str">
        <f>IF(F461="P1","Regular swimming, even distribution",IF(F461="P2","Fish grouped in one corner",IF(F461="P3","Rapid swimming, escape behavior",IF(F461="P4","Little movement",IF(F461="P5","Jumping out of the water",IF(F461="P6","Reaction to a tool or impact"))))))</f>
        <v>Regular swimming, even distribution</v>
      </c>
      <c r="I461" s="6" t="s">
        <v>314</v>
      </c>
    </row>
    <row r="462" spans="1:9" x14ac:dyDescent="0.35">
      <c r="A462" s="13">
        <v>46176</v>
      </c>
      <c r="B462" s="10">
        <v>0.50624999999999998</v>
      </c>
      <c r="C462" s="10">
        <v>0.5131944444444444</v>
      </c>
      <c r="D462" s="5">
        <f>C462-B462</f>
        <v>6.9444444444444198E-3</v>
      </c>
      <c r="E462" s="6" t="s">
        <v>27</v>
      </c>
      <c r="F462" s="7" t="s">
        <v>12</v>
      </c>
      <c r="G462" s="7" t="str">
        <f>IF(F462="P1","Normal activity",IF(F462="P2","Clustering / aggregation",IF(F462="P3","Agitation",IF(F462="P4","Lethargy",IF(F462="P5","Jumping / splashing",IF(F462="P6","Reactivity to noise"))))))</f>
        <v>Clustering / aggregation</v>
      </c>
      <c r="H462" s="7" t="str">
        <f>IF(F462="P1","Regular swimming, even distribution",IF(F462="P2","Fish grouped in one corner",IF(F462="P3","Rapid swimming, escape behavior",IF(F462="P4","Little movement",IF(F462="P5","Jumping out of the water",IF(F462="P6","Reaction to a tool or impact"))))))</f>
        <v>Fish grouped in one corner</v>
      </c>
      <c r="I462" s="6" t="s">
        <v>315</v>
      </c>
    </row>
    <row r="463" spans="1:9" x14ac:dyDescent="0.35">
      <c r="A463" s="13">
        <v>46176</v>
      </c>
      <c r="B463" s="10">
        <v>0.50624999999999998</v>
      </c>
      <c r="C463" s="10">
        <v>0.5131944444444444</v>
      </c>
      <c r="D463" s="5">
        <f>C463-B463</f>
        <v>6.9444444444444198E-3</v>
      </c>
      <c r="E463" s="6" t="s">
        <v>27</v>
      </c>
      <c r="F463" s="7" t="s">
        <v>15</v>
      </c>
      <c r="G463" s="7" t="str">
        <f>IF(F463="P1","Normal activity",IF(F463="P2","Clustering / aggregation",IF(F463="P3","Agitation",IF(F463="P4","Lethargy",IF(F463="P5","Jumping / splashing",IF(F463="P6","Reactivity to noise"))))))</f>
        <v>Agitation</v>
      </c>
      <c r="H463" s="7" t="str">
        <f>IF(F463="P1","Regular swimming, even distribution",IF(F463="P2","Fish grouped in one corner",IF(F463="P3","Rapid swimming, escape behavior",IF(F463="P4","Little movement",IF(F463="P5","Jumping out of the water",IF(F463="P6","Reaction to a tool or impact"))))))</f>
        <v>Rapid swimming, escape behavior</v>
      </c>
      <c r="I463" s="6" t="s">
        <v>316</v>
      </c>
    </row>
    <row r="464" spans="1:9" x14ac:dyDescent="0.35">
      <c r="A464" s="13">
        <v>46176</v>
      </c>
      <c r="B464" s="10">
        <v>0.50624999999999998</v>
      </c>
      <c r="C464" s="10">
        <v>0.5131944444444444</v>
      </c>
      <c r="D464" s="5">
        <f>C464-B464</f>
        <v>6.9444444444444198E-3</v>
      </c>
      <c r="E464" s="6" t="s">
        <v>28</v>
      </c>
      <c r="F464" s="7" t="s">
        <v>12</v>
      </c>
      <c r="G464" s="7" t="str">
        <f>IF(F464="P1","Normal activity",IF(F464="P2","Clustering / aggregation",IF(F464="P3","Agitation",IF(F464="P4","Lethargy",IF(F464="P5","Jumping / splashing",IF(F464="P6","Reactivity to noise"))))))</f>
        <v>Clustering / aggregation</v>
      </c>
      <c r="H464" s="7" t="str">
        <f>IF(F464="P1","Regular swimming, even distribution",IF(F464="P2","Fish grouped in one corner",IF(F464="P3","Rapid swimming, escape behavior",IF(F464="P4","Little movement",IF(F464="P5","Jumping out of the water",IF(F464="P6","Reaction to a tool or impact"))))))</f>
        <v>Fish grouped in one corner</v>
      </c>
      <c r="I464" s="6" t="s">
        <v>317</v>
      </c>
    </row>
    <row r="465" spans="1:9" x14ac:dyDescent="0.35">
      <c r="A465" s="13">
        <v>46176</v>
      </c>
      <c r="B465" s="10">
        <v>0.50624999999999998</v>
      </c>
      <c r="C465" s="10">
        <v>0.5131944444444444</v>
      </c>
      <c r="D465" s="5">
        <f>C465-B465</f>
        <v>6.9444444444444198E-3</v>
      </c>
      <c r="E465" s="6" t="s">
        <v>28</v>
      </c>
      <c r="F465" s="7" t="s">
        <v>9</v>
      </c>
      <c r="G465" s="7" t="str">
        <f>IF(F465="P1","Normal activity",IF(F465="P2","Clustering / aggregation",IF(F465="P3","Agitation",IF(F465="P4","Lethargy",IF(F465="P5","Jumping / splashing",IF(F465="P6","Reactivity to noise"))))))</f>
        <v>Normal activity</v>
      </c>
      <c r="H465" s="7" t="str">
        <f>IF(F465="P1","Regular swimming, even distribution",IF(F465="P2","Fish grouped in one corner",IF(F465="P3","Rapid swimming, escape behavior",IF(F465="P4","Little movement",IF(F465="P5","Jumping out of the water",IF(F465="P6","Reaction to a tool or impact"))))))</f>
        <v>Regular swimming, even distribution</v>
      </c>
      <c r="I465" s="6" t="s">
        <v>318</v>
      </c>
    </row>
    <row r="466" spans="1:9" x14ac:dyDescent="0.35">
      <c r="A466" s="13">
        <v>46176</v>
      </c>
      <c r="B466" s="10">
        <v>0.50624999999999998</v>
      </c>
      <c r="C466" s="10">
        <v>0.5131944444444444</v>
      </c>
      <c r="D466" s="5">
        <f>C466-B466</f>
        <v>6.9444444444444198E-3</v>
      </c>
      <c r="E466" s="6" t="s">
        <v>28</v>
      </c>
      <c r="F466" s="7" t="s">
        <v>15</v>
      </c>
      <c r="G466" s="7" t="str">
        <f>IF(F466="P1","Normal activity",IF(F466="P2","Clustering / aggregation",IF(F466="P3","Agitation",IF(F466="P4","Lethargy",IF(F466="P5","Jumping / splashing",IF(F466="P6","Reactivity to noise"))))))</f>
        <v>Agitation</v>
      </c>
      <c r="H466" s="7" t="str">
        <f>IF(F466="P1","Regular swimming, even distribution",IF(F466="P2","Fish grouped in one corner",IF(F466="P3","Rapid swimming, escape behavior",IF(F466="P4","Little movement",IF(F466="P5","Jumping out of the water",IF(F466="P6","Reaction to a tool or impact"))))))</f>
        <v>Rapid swimming, escape behavior</v>
      </c>
      <c r="I466" s="6" t="s">
        <v>319</v>
      </c>
    </row>
    <row r="467" spans="1:9" x14ac:dyDescent="0.35">
      <c r="A467" s="13">
        <v>46176</v>
      </c>
      <c r="B467" s="10">
        <v>0.50624999999999998</v>
      </c>
      <c r="C467" s="10">
        <v>0.5131944444444444</v>
      </c>
      <c r="D467" s="5">
        <f>C467-B467</f>
        <v>6.9444444444444198E-3</v>
      </c>
      <c r="E467" s="6" t="s">
        <v>29</v>
      </c>
      <c r="F467" s="7" t="s">
        <v>9</v>
      </c>
      <c r="G467" s="7" t="str">
        <f>IF(F467="P1","Normal activity",IF(F467="P2","Clustering / aggregation",IF(F467="P3","Agitation",IF(F467="P4","Lethargy",IF(F467="P5","Jumping / splashing",IF(F467="P6","Reactivity to noise"))))))</f>
        <v>Normal activity</v>
      </c>
      <c r="H467" s="7" t="str">
        <f>IF(F467="P1","Regular swimming, even distribution",IF(F467="P2","Fish grouped in one corner",IF(F467="P3","Rapid swimming, escape behavior",IF(F467="P4","Little movement",IF(F467="P5","Jumping out of the water",IF(F467="P6","Reaction to a tool or impact"))))))</f>
        <v>Regular swimming, even distribution</v>
      </c>
      <c r="I467" s="6" t="s">
        <v>320</v>
      </c>
    </row>
    <row r="468" spans="1:9" x14ac:dyDescent="0.35">
      <c r="A468" s="13">
        <v>46176</v>
      </c>
      <c r="B468" s="10">
        <v>0.50624999999999998</v>
      </c>
      <c r="C468" s="10">
        <v>0.5131944444444444</v>
      </c>
      <c r="D468" s="5">
        <f>C468-B468</f>
        <v>6.9444444444444198E-3</v>
      </c>
      <c r="E468" s="6" t="s">
        <v>29</v>
      </c>
      <c r="F468" s="7" t="s">
        <v>15</v>
      </c>
      <c r="G468" s="7" t="str">
        <f>IF(F468="P1","Normal activity",IF(F468="P2","Clustering / aggregation",IF(F468="P3","Agitation",IF(F468="P4","Lethargy",IF(F468="P5","Jumping / splashing",IF(F468="P6","Reactivity to noise"))))))</f>
        <v>Agitation</v>
      </c>
      <c r="H468" s="7" t="str">
        <f>IF(F468="P1","Regular swimming, even distribution",IF(F468="P2","Fish grouped in one corner",IF(F468="P3","Rapid swimming, escape behavior",IF(F468="P4","Little movement",IF(F468="P5","Jumping out of the water",IF(F468="P6","Reaction to a tool or impact"))))))</f>
        <v>Rapid swimming, escape behavior</v>
      </c>
      <c r="I468" s="6" t="s">
        <v>321</v>
      </c>
    </row>
    <row r="469" spans="1:9" x14ac:dyDescent="0.35">
      <c r="A469" s="13">
        <v>46176</v>
      </c>
      <c r="B469" s="10">
        <v>0.50624999999999998</v>
      </c>
      <c r="C469" s="10">
        <v>0.5131944444444444</v>
      </c>
      <c r="D469" s="5">
        <f>C469-B469</f>
        <v>6.9444444444444198E-3</v>
      </c>
      <c r="E469" s="6" t="s">
        <v>31</v>
      </c>
      <c r="F469" s="7" t="s">
        <v>12</v>
      </c>
      <c r="G469" s="7" t="str">
        <f>IF(F469="P1","Normal activity",IF(F469="P2","Clustering / aggregation",IF(F469="P3","Agitation",IF(F469="P4","Lethargy",IF(F469="P5","Jumping / splashing",IF(F469="P6","Reactivity to noise"))))))</f>
        <v>Clustering / aggregation</v>
      </c>
      <c r="H469" s="7" t="str">
        <f>IF(F469="P1","Regular swimming, even distribution",IF(F469="P2","Fish grouped in one corner",IF(F469="P3","Rapid swimming, escape behavior",IF(F469="P4","Little movement",IF(F469="P5","Jumping out of the water",IF(F469="P6","Reaction to a tool or impact"))))))</f>
        <v>Fish grouped in one corner</v>
      </c>
      <c r="I469" s="6" t="s">
        <v>322</v>
      </c>
    </row>
    <row r="470" spans="1:9" x14ac:dyDescent="0.35">
      <c r="A470" s="13">
        <v>46176</v>
      </c>
      <c r="B470" s="10">
        <v>0.50624999999999998</v>
      </c>
      <c r="C470" s="10">
        <v>0.5131944444444444</v>
      </c>
      <c r="D470" s="5">
        <f>C470-B470</f>
        <v>6.9444444444444198E-3</v>
      </c>
      <c r="E470" s="6" t="s">
        <v>31</v>
      </c>
      <c r="F470" s="7" t="s">
        <v>9</v>
      </c>
      <c r="G470" s="7" t="str">
        <f>IF(F470="P1","Normal activity",IF(F470="P2","Clustering / aggregation",IF(F470="P3","Agitation",IF(F470="P4","Lethargy",IF(F470="P5","Jumping / splashing",IF(F470="P6","Reactivity to noise"))))))</f>
        <v>Normal activity</v>
      </c>
      <c r="H470" s="7" t="str">
        <f>IF(F470="P1","Regular swimming, even distribution",IF(F470="P2","Fish grouped in one corner",IF(F470="P3","Rapid swimming, escape behavior",IF(F470="P4","Little movement",IF(F470="P5","Jumping out of the water",IF(F470="P6","Reaction to a tool or impact"))))))</f>
        <v>Regular swimming, even distribution</v>
      </c>
      <c r="I470" s="6" t="s">
        <v>323</v>
      </c>
    </row>
    <row r="471" spans="1:9" x14ac:dyDescent="0.35">
      <c r="A471" s="13">
        <v>46176</v>
      </c>
      <c r="B471" s="10">
        <v>0.51388888888888884</v>
      </c>
      <c r="C471" s="10">
        <v>0.51736111111111116</v>
      </c>
      <c r="D471" s="5">
        <f>C471-B471</f>
        <v>3.4722222222223209E-3</v>
      </c>
      <c r="E471" s="6"/>
      <c r="F471" s="7"/>
      <c r="G471" s="7" t="b">
        <f>IF(F471="P1","Normal activity",IF(F471="P2","Clustering / aggregation",IF(F471="P3","Agitation",IF(F471="P4","Lethargy",IF(F471="P5","Jumping / splashing",IF(F471="P6","Reactivity to noise"))))))</f>
        <v>0</v>
      </c>
      <c r="H471" s="7" t="b">
        <f>IF(F471="P1","Regular swimming, even distribution",IF(F471="P2","Fish grouped in one corner",IF(F471="P3","Rapid swimming, escape behavior",IF(F471="P4","Little movement",IF(F471="P5","Jumping out of the water",IF(F471="P6","Reaction to a tool or impact"))))))</f>
        <v>0</v>
      </c>
      <c r="I471" s="6" t="s">
        <v>324</v>
      </c>
    </row>
    <row r="472" spans="1:9" x14ac:dyDescent="0.35">
      <c r="A472" s="13">
        <v>46176</v>
      </c>
      <c r="B472" s="10">
        <v>0.5180555555555556</v>
      </c>
      <c r="C472" s="10">
        <v>0.52500000000000002</v>
      </c>
      <c r="D472" s="5">
        <f>C472-B472</f>
        <v>6.9444444444444198E-3</v>
      </c>
      <c r="E472" s="6" t="s">
        <v>27</v>
      </c>
      <c r="F472" s="7" t="s">
        <v>15</v>
      </c>
      <c r="G472" s="7" t="str">
        <f>IF(F472="P1","Normal activity",IF(F472="P2","Clustering / aggregation",IF(F472="P3","Agitation",IF(F472="P4","Lethargy",IF(F472="P5","Jumping / splashing",IF(F472="P6","Reactivity to noise"))))))</f>
        <v>Agitation</v>
      </c>
      <c r="H472" s="7" t="str">
        <f>IF(F472="P1","Regular swimming, even distribution",IF(F472="P2","Fish grouped in one corner",IF(F472="P3","Rapid swimming, escape behavior",IF(F472="P4","Little movement",IF(F472="P5","Jumping out of the water",IF(F472="P6","Reaction to a tool or impact"))))))</f>
        <v>Rapid swimming, escape behavior</v>
      </c>
      <c r="I472" s="6" t="s">
        <v>325</v>
      </c>
    </row>
    <row r="473" spans="1:9" x14ac:dyDescent="0.35">
      <c r="A473" s="13">
        <v>46176</v>
      </c>
      <c r="B473" s="10">
        <v>0.5180555555555556</v>
      </c>
      <c r="C473" s="10">
        <v>0.52500000000000002</v>
      </c>
      <c r="D473" s="5">
        <f>C473-B473</f>
        <v>6.9444444444444198E-3</v>
      </c>
      <c r="E473" s="6" t="s">
        <v>27</v>
      </c>
      <c r="F473" s="7" t="s">
        <v>12</v>
      </c>
      <c r="G473" s="7" t="str">
        <f>IF(F473="P1","Normal activity",IF(F473="P2","Clustering / aggregation",IF(F473="P3","Agitation",IF(F473="P4","Lethargy",IF(F473="P5","Jumping / splashing",IF(F473="P6","Reactivity to noise"))))))</f>
        <v>Clustering / aggregation</v>
      </c>
      <c r="H473" s="7" t="str">
        <f>IF(F473="P1","Regular swimming, even distribution",IF(F473="P2","Fish grouped in one corner",IF(F473="P3","Rapid swimming, escape behavior",IF(F473="P4","Little movement",IF(F473="P5","Jumping out of the water",IF(F473="P6","Reaction to a tool or impact"))))))</f>
        <v>Fish grouped in one corner</v>
      </c>
      <c r="I473" s="6" t="s">
        <v>326</v>
      </c>
    </row>
    <row r="474" spans="1:9" x14ac:dyDescent="0.35">
      <c r="A474" s="13">
        <v>46176</v>
      </c>
      <c r="B474" s="10">
        <v>0.5180555555555556</v>
      </c>
      <c r="C474" s="10">
        <v>0.52500000000000002</v>
      </c>
      <c r="D474" s="5">
        <f>C474-B474</f>
        <v>6.9444444444444198E-3</v>
      </c>
      <c r="E474" s="6" t="s">
        <v>28</v>
      </c>
      <c r="F474" s="7" t="s">
        <v>12</v>
      </c>
      <c r="G474" s="7" t="str">
        <f>IF(F474="P1","Normal activity",IF(F474="P2","Clustering / aggregation",IF(F474="P3","Agitation",IF(F474="P4","Lethargy",IF(F474="P5","Jumping / splashing",IF(F474="P6","Reactivity to noise"))))))</f>
        <v>Clustering / aggregation</v>
      </c>
      <c r="H474" s="7" t="str">
        <f>IF(F474="P1","Regular swimming, even distribution",IF(F474="P2","Fish grouped in one corner",IF(F474="P3","Rapid swimming, escape behavior",IF(F474="P4","Little movement",IF(F474="P5","Jumping out of the water",IF(F474="P6","Reaction to a tool or impact"))))))</f>
        <v>Fish grouped in one corner</v>
      </c>
      <c r="I474" s="6" t="s">
        <v>326</v>
      </c>
    </row>
    <row r="475" spans="1:9" x14ac:dyDescent="0.35">
      <c r="A475" s="13">
        <v>46176</v>
      </c>
      <c r="B475" s="10">
        <v>0.5180555555555556</v>
      </c>
      <c r="C475" s="10">
        <v>0.52500000000000002</v>
      </c>
      <c r="D475" s="5">
        <f>C475-B475</f>
        <v>6.9444444444444198E-3</v>
      </c>
      <c r="E475" s="6" t="s">
        <v>28</v>
      </c>
      <c r="F475" s="7" t="s">
        <v>15</v>
      </c>
      <c r="G475" s="7" t="str">
        <f>IF(F475="P1","Normal activity",IF(F475="P2","Clustering / aggregation",IF(F475="P3","Agitation",IF(F475="P4","Lethargy",IF(F475="P5","Jumping / splashing",IF(F475="P6","Reactivity to noise"))))))</f>
        <v>Agitation</v>
      </c>
      <c r="H475" s="7" t="str">
        <f>IF(F475="P1","Regular swimming, even distribution",IF(F475="P2","Fish grouped in one corner",IF(F475="P3","Rapid swimming, escape behavior",IF(F475="P4","Little movement",IF(F475="P5","Jumping out of the water",IF(F475="P6","Reaction to a tool or impact"))))))</f>
        <v>Rapid swimming, escape behavior</v>
      </c>
      <c r="I475" s="6" t="s">
        <v>327</v>
      </c>
    </row>
    <row r="476" spans="1:9" x14ac:dyDescent="0.35">
      <c r="A476" s="13">
        <v>46176</v>
      </c>
      <c r="B476" s="10">
        <v>0.5180555555555556</v>
      </c>
      <c r="C476" s="10">
        <v>0.52500000000000002</v>
      </c>
      <c r="D476" s="5">
        <f>C476-B476</f>
        <v>6.9444444444444198E-3</v>
      </c>
      <c r="E476" s="6" t="s">
        <v>29</v>
      </c>
      <c r="F476" s="7" t="s">
        <v>12</v>
      </c>
      <c r="G476" s="7" t="str">
        <f>IF(F476="P1","Normal activity",IF(F476="P2","Clustering / aggregation",IF(F476="P3","Agitation",IF(F476="P4","Lethargy",IF(F476="P5","Jumping / splashing",IF(F476="P6","Reactivity to noise"))))))</f>
        <v>Clustering / aggregation</v>
      </c>
      <c r="H476" s="7" t="str">
        <f>IF(F476="P1","Regular swimming, even distribution",IF(F476="P2","Fish grouped in one corner",IF(F476="P3","Rapid swimming, escape behavior",IF(F476="P4","Little movement",IF(F476="P5","Jumping out of the water",IF(F476="P6","Reaction to a tool or impact"))))))</f>
        <v>Fish grouped in one corner</v>
      </c>
      <c r="I476" s="6" t="s">
        <v>251</v>
      </c>
    </row>
    <row r="477" spans="1:9" x14ac:dyDescent="0.35">
      <c r="A477" s="13">
        <v>46176</v>
      </c>
      <c r="B477" s="10">
        <v>0.5180555555555556</v>
      </c>
      <c r="C477" s="10">
        <v>0.52500000000000002</v>
      </c>
      <c r="D477" s="5">
        <f>C477-B477</f>
        <v>6.9444444444444198E-3</v>
      </c>
      <c r="E477" s="6" t="s">
        <v>29</v>
      </c>
      <c r="F477" s="7" t="s">
        <v>9</v>
      </c>
      <c r="G477" s="7" t="str">
        <f>IF(F477="P1","Normal activity",IF(F477="P2","Clustering / aggregation",IF(F477="P3","Agitation",IF(F477="P4","Lethargy",IF(F477="P5","Jumping / splashing",IF(F477="P6","Reactivity to noise"))))))</f>
        <v>Normal activity</v>
      </c>
      <c r="H477" s="7" t="str">
        <f>IF(F477="P1","Regular swimming, even distribution",IF(F477="P2","Fish grouped in one corner",IF(F477="P3","Rapid swimming, escape behavior",IF(F477="P4","Little movement",IF(F477="P5","Jumping out of the water",IF(F477="P6","Reaction to a tool or impact"))))))</f>
        <v>Regular swimming, even distribution</v>
      </c>
      <c r="I477" s="6" t="s">
        <v>328</v>
      </c>
    </row>
    <row r="478" spans="1:9" x14ac:dyDescent="0.35">
      <c r="A478" s="13">
        <v>46176</v>
      </c>
      <c r="B478" s="10">
        <v>0.5180555555555556</v>
      </c>
      <c r="C478" s="10">
        <v>0.52500000000000002</v>
      </c>
      <c r="D478" s="5">
        <f>C478-B478</f>
        <v>6.9444444444444198E-3</v>
      </c>
      <c r="E478" s="6" t="s">
        <v>29</v>
      </c>
      <c r="F478" s="7" t="s">
        <v>15</v>
      </c>
      <c r="G478" s="7" t="str">
        <f>IF(F478="P1","Normal activity",IF(F478="P2","Clustering / aggregation",IF(F478="P3","Agitation",IF(F478="P4","Lethargy",IF(F478="P5","Jumping / splashing",IF(F478="P6","Reactivity to noise"))))))</f>
        <v>Agitation</v>
      </c>
      <c r="H478" s="7" t="str">
        <f>IF(F478="P1","Regular swimming, even distribution",IF(F478="P2","Fish grouped in one corner",IF(F478="P3","Rapid swimming, escape behavior",IF(F478="P4","Little movement",IF(F478="P5","Jumping out of the water",IF(F478="P6","Reaction to a tool or impact"))))))</f>
        <v>Rapid swimming, escape behavior</v>
      </c>
      <c r="I478" s="6" t="s">
        <v>329</v>
      </c>
    </row>
    <row r="479" spans="1:9" x14ac:dyDescent="0.35">
      <c r="A479" s="13">
        <v>46176</v>
      </c>
      <c r="B479" s="10">
        <v>0.5180555555555556</v>
      </c>
      <c r="C479" s="10">
        <v>0.52500000000000002</v>
      </c>
      <c r="D479" s="5">
        <f>C479-B479</f>
        <v>6.9444444444444198E-3</v>
      </c>
      <c r="E479" s="6" t="s">
        <v>31</v>
      </c>
      <c r="F479" s="7" t="s">
        <v>12</v>
      </c>
      <c r="G479" s="7" t="str">
        <f>IF(F479="P1","Normal activity",IF(F479="P2","Clustering / aggregation",IF(F479="P3","Agitation",IF(F479="P4","Lethargy",IF(F479="P5","Jumping / splashing",IF(F479="P6","Reactivity to noise"))))))</f>
        <v>Clustering / aggregation</v>
      </c>
      <c r="H479" s="7" t="str">
        <f>IF(F479="P1","Regular swimming, even distribution",IF(F479="P2","Fish grouped in one corner",IF(F479="P3","Rapid swimming, escape behavior",IF(F479="P4","Little movement",IF(F479="P5","Jumping out of the water",IF(F479="P6","Reaction to a tool or impact"))))))</f>
        <v>Fish grouped in one corner</v>
      </c>
      <c r="I479" s="6" t="s">
        <v>330</v>
      </c>
    </row>
    <row r="480" spans="1:9" x14ac:dyDescent="0.35">
      <c r="A480" s="13">
        <v>46176</v>
      </c>
      <c r="B480" s="10">
        <v>0.5180555555555556</v>
      </c>
      <c r="C480" s="10">
        <v>0.52500000000000002</v>
      </c>
      <c r="D480" s="5">
        <f>C480-B480</f>
        <v>6.9444444444444198E-3</v>
      </c>
      <c r="E480" s="6" t="s">
        <v>31</v>
      </c>
      <c r="F480" s="7" t="s">
        <v>9</v>
      </c>
      <c r="G480" s="7" t="str">
        <f>IF(F480="P1","Normal activity",IF(F480="P2","Clustering / aggregation",IF(F480="P3","Agitation",IF(F480="P4","Lethargy",IF(F480="P5","Jumping / splashing",IF(F480="P6","Reactivity to noise"))))))</f>
        <v>Normal activity</v>
      </c>
      <c r="H480" s="7" t="str">
        <f>IF(F480="P1","Regular swimming, even distribution",IF(F480="P2","Fish grouped in one corner",IF(F480="P3","Rapid swimming, escape behavior",IF(F480="P4","Little movement",IF(F480="P5","Jumping out of the water",IF(F480="P6","Reaction to a tool or impact"))))))</f>
        <v>Regular swimming, even distribution</v>
      </c>
      <c r="I480" s="6" t="s">
        <v>331</v>
      </c>
    </row>
    <row r="481" spans="1:9" x14ac:dyDescent="0.35">
      <c r="A481" s="13">
        <v>46176</v>
      </c>
      <c r="B481" s="10">
        <v>0.57499999999999996</v>
      </c>
      <c r="C481" s="10">
        <v>0.58194444444444449</v>
      </c>
      <c r="D481" s="5">
        <f>C481-B481</f>
        <v>6.9444444444445308E-3</v>
      </c>
      <c r="E481" s="6" t="s">
        <v>27</v>
      </c>
      <c r="F481" s="7" t="s">
        <v>12</v>
      </c>
      <c r="G481" s="7" t="str">
        <f>IF(F481="P1","Normal activity",IF(F481="P2","Clustering / aggregation",IF(F481="P3","Agitation",IF(F481="P4","Lethargy",IF(F481="P5","Jumping / splashing",IF(F481="P6","Reactivity to noise"))))))</f>
        <v>Clustering / aggregation</v>
      </c>
      <c r="H481" s="7" t="str">
        <f>IF(F481="P1","Regular swimming, even distribution",IF(F481="P2","Fish grouped in one corner",IF(F481="P3","Rapid swimming, escape behavior",IF(F481="P4","Little movement",IF(F481="P5","Jumping out of the water",IF(F481="P6","Reaction to a tool or impact"))))))</f>
        <v>Fish grouped in one corner</v>
      </c>
      <c r="I481" s="6" t="s">
        <v>332</v>
      </c>
    </row>
    <row r="482" spans="1:9" x14ac:dyDescent="0.35">
      <c r="A482" s="13">
        <v>46176</v>
      </c>
      <c r="B482" s="10">
        <v>0.57499999999999996</v>
      </c>
      <c r="C482" s="10">
        <v>0.58194444444444449</v>
      </c>
      <c r="D482" s="5">
        <f>C482-B482</f>
        <v>6.9444444444445308E-3</v>
      </c>
      <c r="E482" s="6" t="s">
        <v>27</v>
      </c>
      <c r="F482" s="7" t="s">
        <v>15</v>
      </c>
      <c r="G482" s="7" t="str">
        <f>IF(F482="P1","Normal activity",IF(F482="P2","Clustering / aggregation",IF(F482="P3","Agitation",IF(F482="P4","Lethargy",IF(F482="P5","Jumping / splashing",IF(F482="P6","Reactivity to noise"))))))</f>
        <v>Agitation</v>
      </c>
      <c r="H482" s="7" t="str">
        <f>IF(F482="P1","Regular swimming, even distribution",IF(F482="P2","Fish grouped in one corner",IF(F482="P3","Rapid swimming, escape behavior",IF(F482="P4","Little movement",IF(F482="P5","Jumping out of the water",IF(F482="P6","Reaction to a tool or impact"))))))</f>
        <v>Rapid swimming, escape behavior</v>
      </c>
      <c r="I482" s="6" t="s">
        <v>333</v>
      </c>
    </row>
    <row r="483" spans="1:9" x14ac:dyDescent="0.35">
      <c r="A483" s="13">
        <v>46176</v>
      </c>
      <c r="B483" s="10">
        <v>0.57499999999999996</v>
      </c>
      <c r="C483" s="10">
        <v>0.58194444444444449</v>
      </c>
      <c r="D483" s="5">
        <f>C483-B483</f>
        <v>6.9444444444445308E-3</v>
      </c>
      <c r="E483" s="6" t="s">
        <v>28</v>
      </c>
      <c r="F483" s="7" t="s">
        <v>12</v>
      </c>
      <c r="G483" s="7" t="str">
        <f>IF(F483="P1","Normal activity",IF(F483="P2","Clustering / aggregation",IF(F483="P3","Agitation",IF(F483="P4","Lethargy",IF(F483="P5","Jumping / splashing",IF(F483="P6","Reactivity to noise"))))))</f>
        <v>Clustering / aggregation</v>
      </c>
      <c r="H483" s="7" t="str">
        <f>IF(F483="P1","Regular swimming, even distribution",IF(F483="P2","Fish grouped in one corner",IF(F483="P3","Rapid swimming, escape behavior",IF(F483="P4","Little movement",IF(F483="P5","Jumping out of the water",IF(F483="P6","Reaction to a tool or impact"))))))</f>
        <v>Fish grouped in one corner</v>
      </c>
      <c r="I483" s="6" t="s">
        <v>334</v>
      </c>
    </row>
    <row r="484" spans="1:9" x14ac:dyDescent="0.35">
      <c r="A484" s="13">
        <v>46176</v>
      </c>
      <c r="B484" s="10">
        <v>0.57499999999999996</v>
      </c>
      <c r="C484" s="10">
        <v>0.58194444444444449</v>
      </c>
      <c r="D484" s="5">
        <f>C484-B484</f>
        <v>6.9444444444445308E-3</v>
      </c>
      <c r="E484" s="6" t="s">
        <v>28</v>
      </c>
      <c r="F484" s="7" t="s">
        <v>9</v>
      </c>
      <c r="G484" s="7" t="str">
        <f>IF(F484="P1","Normal activity",IF(F484="P2","Clustering / aggregation",IF(F484="P3","Agitation",IF(F484="P4","Lethargy",IF(F484="P5","Jumping / splashing",IF(F484="P6","Reactivity to noise"))))))</f>
        <v>Normal activity</v>
      </c>
      <c r="H484" s="7" t="str">
        <f>IF(F484="P1","Regular swimming, even distribution",IF(F484="P2","Fish grouped in one corner",IF(F484="P3","Rapid swimming, escape behavior",IF(F484="P4","Little movement",IF(F484="P5","Jumping out of the water",IF(F484="P6","Reaction to a tool or impact"))))))</f>
        <v>Regular swimming, even distribution</v>
      </c>
      <c r="I484" s="6" t="s">
        <v>335</v>
      </c>
    </row>
    <row r="485" spans="1:9" x14ac:dyDescent="0.35">
      <c r="A485" s="13">
        <v>46176</v>
      </c>
      <c r="B485" s="10">
        <v>0.57499999999999996</v>
      </c>
      <c r="C485" s="10">
        <v>0.58194444444444449</v>
      </c>
      <c r="D485" s="5">
        <f>C485-B485</f>
        <v>6.9444444444445308E-3</v>
      </c>
      <c r="E485" s="6" t="s">
        <v>28</v>
      </c>
      <c r="F485" s="7" t="s">
        <v>15</v>
      </c>
      <c r="G485" s="7" t="str">
        <f>IF(F485="P1","Normal activity",IF(F485="P2","Clustering / aggregation",IF(F485="P3","Agitation",IF(F485="P4","Lethargy",IF(F485="P5","Jumping / splashing",IF(F485="P6","Reactivity to noise"))))))</f>
        <v>Agitation</v>
      </c>
      <c r="H485" s="7" t="str">
        <f>IF(F485="P1","Regular swimming, even distribution",IF(F485="P2","Fish grouped in one corner",IF(F485="P3","Rapid swimming, escape behavior",IF(F485="P4","Little movement",IF(F485="P5","Jumping out of the water",IF(F485="P6","Reaction to a tool or impact"))))))</f>
        <v>Rapid swimming, escape behavior</v>
      </c>
      <c r="I485" s="6" t="s">
        <v>336</v>
      </c>
    </row>
    <row r="486" spans="1:9" x14ac:dyDescent="0.35">
      <c r="A486" s="13">
        <v>46176</v>
      </c>
      <c r="B486" s="10">
        <v>0.57499999999999996</v>
      </c>
      <c r="C486" s="10">
        <v>0.58194444444444449</v>
      </c>
      <c r="D486" s="5">
        <f>C486-B486</f>
        <v>6.9444444444445308E-3</v>
      </c>
      <c r="E486" s="6" t="s">
        <v>29</v>
      </c>
      <c r="F486" s="7" t="s">
        <v>9</v>
      </c>
      <c r="G486" s="7" t="str">
        <f>IF(F486="P1","Normal activity",IF(F486="P2","Clustering / aggregation",IF(F486="P3","Agitation",IF(F486="P4","Lethargy",IF(F486="P5","Jumping / splashing",IF(F486="P6","Reactivity to noise"))))))</f>
        <v>Normal activity</v>
      </c>
      <c r="H486" s="7" t="str">
        <f>IF(F486="P1","Regular swimming, even distribution",IF(F486="P2","Fish grouped in one corner",IF(F486="P3","Rapid swimming, escape behavior",IF(F486="P4","Little movement",IF(F486="P5","Jumping out of the water",IF(F486="P6","Reaction to a tool or impact"))))))</f>
        <v>Regular swimming, even distribution</v>
      </c>
      <c r="I486" s="6" t="s">
        <v>297</v>
      </c>
    </row>
    <row r="487" spans="1:9" x14ac:dyDescent="0.35">
      <c r="A487" s="13">
        <v>46176</v>
      </c>
      <c r="B487" s="10">
        <v>0.57499999999999996</v>
      </c>
      <c r="C487" s="10">
        <v>0.58194444444444449</v>
      </c>
      <c r="D487" s="5">
        <f>C487-B487</f>
        <v>6.9444444444445308E-3</v>
      </c>
      <c r="E487" s="6" t="s">
        <v>29</v>
      </c>
      <c r="F487" s="7" t="s">
        <v>15</v>
      </c>
      <c r="G487" s="7" t="str">
        <f>IF(F487="P1","Normal activity",IF(F487="P2","Clustering / aggregation",IF(F487="P3","Agitation",IF(F487="P4","Lethargy",IF(F487="P5","Jumping / splashing",IF(F487="P6","Reactivity to noise"))))))</f>
        <v>Agitation</v>
      </c>
      <c r="H487" s="7" t="str">
        <f>IF(F487="P1","Regular swimming, even distribution",IF(F487="P2","Fish grouped in one corner",IF(F487="P3","Rapid swimming, escape behavior",IF(F487="P4","Little movement",IF(F487="P5","Jumping out of the water",IF(F487="P6","Reaction to a tool or impact"))))))</f>
        <v>Rapid swimming, escape behavior</v>
      </c>
      <c r="I487" s="6" t="s">
        <v>337</v>
      </c>
    </row>
    <row r="488" spans="1:9" x14ac:dyDescent="0.35">
      <c r="A488" s="13">
        <v>46176</v>
      </c>
      <c r="B488" s="10">
        <v>0.57499999999999996</v>
      </c>
      <c r="C488" s="10">
        <v>0.58194444444444449</v>
      </c>
      <c r="D488" s="5">
        <f>C488-B488</f>
        <v>6.9444444444445308E-3</v>
      </c>
      <c r="E488" s="6" t="s">
        <v>31</v>
      </c>
      <c r="F488" s="7" t="s">
        <v>12</v>
      </c>
      <c r="G488" s="7" t="str">
        <f>IF(F488="P1","Normal activity",IF(F488="P2","Clustering / aggregation",IF(F488="P3","Agitation",IF(F488="P4","Lethargy",IF(F488="P5","Jumping / splashing",IF(F488="P6","Reactivity to noise"))))))</f>
        <v>Clustering / aggregation</v>
      </c>
      <c r="H488" s="7" t="str">
        <f>IF(F488="P1","Regular swimming, even distribution",IF(F488="P2","Fish grouped in one corner",IF(F488="P3","Rapid swimming, escape behavior",IF(F488="P4","Little movement",IF(F488="P5","Jumping out of the water",IF(F488="P6","Reaction to a tool or impact"))))))</f>
        <v>Fish grouped in one corner</v>
      </c>
      <c r="I488" s="6" t="s">
        <v>338</v>
      </c>
    </row>
    <row r="489" spans="1:9" x14ac:dyDescent="0.35">
      <c r="A489" s="13">
        <v>46176</v>
      </c>
      <c r="B489" s="10">
        <v>0.57499999999999996</v>
      </c>
      <c r="C489" s="10">
        <v>0.58194444444444449</v>
      </c>
      <c r="D489" s="5">
        <f>C489-B489</f>
        <v>6.9444444444445308E-3</v>
      </c>
      <c r="E489" s="6" t="s">
        <v>31</v>
      </c>
      <c r="F489" s="7" t="s">
        <v>9</v>
      </c>
      <c r="G489" s="7" t="str">
        <f>IF(F489="P1","Normal activity",IF(F489="P2","Clustering / aggregation",IF(F489="P3","Agitation",IF(F489="P4","Lethargy",IF(F489="P5","Jumping / splashing",IF(F489="P6","Reactivity to noise"))))))</f>
        <v>Normal activity</v>
      </c>
      <c r="H489" s="7" t="str">
        <f>IF(F489="P1","Regular swimming, even distribution",IF(F489="P2","Fish grouped in one corner",IF(F489="P3","Rapid swimming, escape behavior",IF(F489="P4","Little movement",IF(F489="P5","Jumping out of the water",IF(F489="P6","Reaction to a tool or impact"))))))</f>
        <v>Regular swimming, even distribution</v>
      </c>
      <c r="I489" s="6" t="s">
        <v>339</v>
      </c>
    </row>
    <row r="490" spans="1:9" x14ac:dyDescent="0.35">
      <c r="A490" s="13">
        <v>46176</v>
      </c>
      <c r="B490" s="10">
        <v>0.58263888888888893</v>
      </c>
      <c r="C490" s="10">
        <v>0.58611111111111114</v>
      </c>
      <c r="D490" s="5">
        <f>C490-B490</f>
        <v>3.4722222222222099E-3</v>
      </c>
      <c r="E490" s="6"/>
      <c r="F490" s="7"/>
      <c r="G490" s="7" t="b">
        <f>IF(F490="P1","Normal activity",IF(F490="P2","Clustering / aggregation",IF(F490="P3","Agitation",IF(F490="P4","Lethargy",IF(F490="P5","Jumping / splashing",IF(F490="P6","Reactivity to noise"))))))</f>
        <v>0</v>
      </c>
      <c r="H490" s="7" t="b">
        <f>IF(F490="P1","Regular swimming, even distribution",IF(F490="P2","Fish grouped in one corner",IF(F490="P3","Rapid swimming, escape behavior",IF(F490="P4","Little movement",IF(F490="P5","Jumping out of the water",IF(F490="P6","Reaction to a tool or impact"))))))</f>
        <v>0</v>
      </c>
      <c r="I490" s="6" t="s">
        <v>340</v>
      </c>
    </row>
    <row r="491" spans="1:9" x14ac:dyDescent="0.35">
      <c r="A491" s="13">
        <v>46176</v>
      </c>
      <c r="B491" s="10">
        <v>0.58680555555555558</v>
      </c>
      <c r="C491" s="10">
        <v>0.59375</v>
      </c>
      <c r="D491" s="5">
        <f>C491-B491</f>
        <v>6.9444444444444198E-3</v>
      </c>
      <c r="E491" s="6" t="s">
        <v>27</v>
      </c>
      <c r="F491" s="7" t="s">
        <v>12</v>
      </c>
      <c r="G491" s="7" t="str">
        <f>IF(F491="P1","Normal activity",IF(F491="P2","Clustering / aggregation",IF(F491="P3","Agitation",IF(F491="P4","Lethargy",IF(F491="P5","Jumping / splashing",IF(F491="P6","Reactivity to noise"))))))</f>
        <v>Clustering / aggregation</v>
      </c>
      <c r="H491" s="7" t="str">
        <f>IF(F491="P1","Regular swimming, even distribution",IF(F491="P2","Fish grouped in one corner",IF(F491="P3","Rapid swimming, escape behavior",IF(F491="P4","Little movement",IF(F491="P5","Jumping out of the water",IF(F491="P6","Reaction to a tool or impact"))))))</f>
        <v>Fish grouped in one corner</v>
      </c>
      <c r="I491" s="6" t="s">
        <v>341</v>
      </c>
    </row>
    <row r="492" spans="1:9" x14ac:dyDescent="0.35">
      <c r="A492" s="13">
        <v>46176</v>
      </c>
      <c r="B492" s="10">
        <v>0.58680555555555558</v>
      </c>
      <c r="C492" s="10">
        <v>0.59375</v>
      </c>
      <c r="D492" s="5">
        <f>C492-B492</f>
        <v>6.9444444444444198E-3</v>
      </c>
      <c r="E492" s="6" t="s">
        <v>27</v>
      </c>
      <c r="F492" s="7" t="s">
        <v>15</v>
      </c>
      <c r="G492" s="7" t="str">
        <f>IF(F492="P1","Normal activity",IF(F492="P2","Clustering / aggregation",IF(F492="P3","Agitation",IF(F492="P4","Lethargy",IF(F492="P5","Jumping / splashing",IF(F492="P6","Reactivity to noise"))))))</f>
        <v>Agitation</v>
      </c>
      <c r="H492" s="7" t="str">
        <f>IF(F492="P1","Regular swimming, even distribution",IF(F492="P2","Fish grouped in one corner",IF(F492="P3","Rapid swimming, escape behavior",IF(F492="P4","Little movement",IF(F492="P5","Jumping out of the water",IF(F492="P6","Reaction to a tool or impact"))))))</f>
        <v>Rapid swimming, escape behavior</v>
      </c>
      <c r="I492" s="6" t="s">
        <v>342</v>
      </c>
    </row>
    <row r="493" spans="1:9" x14ac:dyDescent="0.35">
      <c r="A493" s="13">
        <v>46176</v>
      </c>
      <c r="B493" s="10">
        <v>0.58680555555555558</v>
      </c>
      <c r="C493" s="10">
        <v>0.59375</v>
      </c>
      <c r="D493" s="5">
        <f>C493-B493</f>
        <v>6.9444444444444198E-3</v>
      </c>
      <c r="E493" s="6" t="s">
        <v>28</v>
      </c>
      <c r="F493" s="7" t="s">
        <v>12</v>
      </c>
      <c r="G493" s="7" t="str">
        <f>IF(F493="P1","Normal activity",IF(F493="P2","Clustering / aggregation",IF(F493="P3","Agitation",IF(F493="P4","Lethargy",IF(F493="P5","Jumping / splashing",IF(F493="P6","Reactivity to noise"))))))</f>
        <v>Clustering / aggregation</v>
      </c>
      <c r="H493" s="7" t="str">
        <f>IF(F493="P1","Regular swimming, even distribution",IF(F493="P2","Fish grouped in one corner",IF(F493="P3","Rapid swimming, escape behavior",IF(F493="P4","Little movement",IF(F493="P5","Jumping out of the water",IF(F493="P6","Reaction to a tool or impact"))))))</f>
        <v>Fish grouped in one corner</v>
      </c>
      <c r="I493" s="6" t="s">
        <v>341</v>
      </c>
    </row>
    <row r="494" spans="1:9" x14ac:dyDescent="0.35">
      <c r="A494" s="13">
        <v>46176</v>
      </c>
      <c r="B494" s="10">
        <v>0.58680555555555558</v>
      </c>
      <c r="C494" s="10">
        <v>0.59375</v>
      </c>
      <c r="D494" s="5">
        <f>C494-B494</f>
        <v>6.9444444444444198E-3</v>
      </c>
      <c r="E494" s="6" t="s">
        <v>28</v>
      </c>
      <c r="F494" s="7" t="s">
        <v>15</v>
      </c>
      <c r="G494" s="7" t="str">
        <f>IF(F494="P1","Normal activity",IF(F494="P2","Clustering / aggregation",IF(F494="P3","Agitation",IF(F494="P4","Lethargy",IF(F494="P5","Jumping / splashing",IF(F494="P6","Reactivity to noise"))))))</f>
        <v>Agitation</v>
      </c>
      <c r="H494" s="7" t="str">
        <f>IF(F494="P1","Regular swimming, even distribution",IF(F494="P2","Fish grouped in one corner",IF(F494="P3","Rapid swimming, escape behavior",IF(F494="P4","Little movement",IF(F494="P5","Jumping out of the water",IF(F494="P6","Reaction to a tool or impact"))))))</f>
        <v>Rapid swimming, escape behavior</v>
      </c>
      <c r="I494" s="6" t="s">
        <v>343</v>
      </c>
    </row>
    <row r="495" spans="1:9" x14ac:dyDescent="0.35">
      <c r="A495" s="13">
        <v>46176</v>
      </c>
      <c r="B495" s="10">
        <v>0.58680555555555558</v>
      </c>
      <c r="C495" s="10">
        <v>0.59375</v>
      </c>
      <c r="D495" s="5">
        <f>C495-B495</f>
        <v>6.9444444444444198E-3</v>
      </c>
      <c r="E495" s="6" t="s">
        <v>29</v>
      </c>
      <c r="F495" s="7" t="s">
        <v>15</v>
      </c>
      <c r="G495" s="7" t="str">
        <f>IF(F495="P1","Normal activity",IF(F495="P2","Clustering / aggregation",IF(F495="P3","Agitation",IF(F495="P4","Lethargy",IF(F495="P5","Jumping / splashing",IF(F495="P6","Reactivity to noise"))))))</f>
        <v>Agitation</v>
      </c>
      <c r="H495" s="7" t="str">
        <f>IF(F495="P1","Regular swimming, even distribution",IF(F495="P2","Fish grouped in one corner",IF(F495="P3","Rapid swimming, escape behavior",IF(F495="P4","Little movement",IF(F495="P5","Jumping out of the water",IF(F495="P6","Reaction to a tool or impact"))))))</f>
        <v>Rapid swimming, escape behavior</v>
      </c>
      <c r="I495" s="10"/>
    </row>
    <row r="496" spans="1:9" x14ac:dyDescent="0.35">
      <c r="A496" s="13">
        <v>46176</v>
      </c>
      <c r="B496" s="10">
        <v>0.58680555555555558</v>
      </c>
      <c r="C496" s="10">
        <v>0.59375</v>
      </c>
      <c r="D496" s="5">
        <f>C496-B496</f>
        <v>6.9444444444444198E-3</v>
      </c>
      <c r="E496" s="6" t="s">
        <v>29</v>
      </c>
      <c r="F496" s="7" t="s">
        <v>9</v>
      </c>
      <c r="G496" s="7" t="str">
        <f>IF(F496="P1","Normal activity",IF(F496="P2","Clustering / aggregation",IF(F496="P3","Agitation",IF(F496="P4","Lethargy",IF(F496="P5","Jumping / splashing",IF(F496="P6","Reactivity to noise"))))))</f>
        <v>Normal activity</v>
      </c>
      <c r="H496" s="7" t="str">
        <f>IF(F496="P1","Regular swimming, even distribution",IF(F496="P2","Fish grouped in one corner",IF(F496="P3","Rapid swimming, escape behavior",IF(F496="P4","Little movement",IF(F496="P5","Jumping out of the water",IF(F496="P6","Reaction to a tool or impact"))))))</f>
        <v>Regular swimming, even distribution</v>
      </c>
      <c r="I496" s="11" t="s">
        <v>344</v>
      </c>
    </row>
    <row r="497" spans="1:9" x14ac:dyDescent="0.35">
      <c r="A497" s="13">
        <v>46176</v>
      </c>
      <c r="B497" s="10">
        <v>0.58680555555555558</v>
      </c>
      <c r="C497" s="10">
        <v>0.59375</v>
      </c>
      <c r="D497" s="5">
        <f>C497-B497</f>
        <v>6.9444444444444198E-3</v>
      </c>
      <c r="E497" s="6" t="s">
        <v>29</v>
      </c>
      <c r="F497" s="7" t="s">
        <v>15</v>
      </c>
      <c r="G497" s="7" t="str">
        <f>IF(F497="P1","Normal activity",IF(F497="P2","Clustering / aggregation",IF(F497="P3","Agitation",IF(F497="P4","Lethargy",IF(F497="P5","Jumping / splashing",IF(F497="P6","Reactivity to noise"))))))</f>
        <v>Agitation</v>
      </c>
      <c r="H497" s="7" t="str">
        <f>IF(F497="P1","Regular swimming, even distribution",IF(F497="P2","Fish grouped in one corner",IF(F497="P3","Rapid swimming, escape behavior",IF(F497="P4","Little movement",IF(F497="P5","Jumping out of the water",IF(F497="P6","Reaction to a tool or impact"))))))</f>
        <v>Rapid swimming, escape behavior</v>
      </c>
      <c r="I497" s="6" t="s">
        <v>345</v>
      </c>
    </row>
    <row r="498" spans="1:9" x14ac:dyDescent="0.35">
      <c r="A498" s="13">
        <v>46176</v>
      </c>
      <c r="B498" s="10">
        <v>0.58680555555555558</v>
      </c>
      <c r="C498" s="10">
        <v>0.59375</v>
      </c>
      <c r="D498" s="5">
        <f>C498-B498</f>
        <v>6.9444444444444198E-3</v>
      </c>
      <c r="E498" s="6" t="s">
        <v>31</v>
      </c>
      <c r="F498" s="7" t="s">
        <v>12</v>
      </c>
      <c r="G498" s="7" t="str">
        <f>IF(F498="P1","Normal activity",IF(F498="P2","Clustering / aggregation",IF(F498="P3","Agitation",IF(F498="P4","Lethargy",IF(F498="P5","Jumping / splashing",IF(F498="P6","Reactivity to noise"))))))</f>
        <v>Clustering / aggregation</v>
      </c>
      <c r="H498" s="7" t="str">
        <f>IF(F498="P1","Regular swimming, even distribution",IF(F498="P2","Fish grouped in one corner",IF(F498="P3","Rapid swimming, escape behavior",IF(F498="P4","Little movement",IF(F498="P5","Jumping out of the water",IF(F498="P6","Reaction to a tool or impact"))))))</f>
        <v>Fish grouped in one corner</v>
      </c>
      <c r="I498" s="6" t="s">
        <v>346</v>
      </c>
    </row>
    <row r="499" spans="1:9" x14ac:dyDescent="0.35">
      <c r="A499" s="13">
        <v>46176</v>
      </c>
      <c r="B499" s="10">
        <v>0.58680555555555558</v>
      </c>
      <c r="C499" s="10">
        <v>0.59375</v>
      </c>
      <c r="D499" s="5">
        <f>C499-B499</f>
        <v>6.9444444444444198E-3</v>
      </c>
      <c r="E499" s="6" t="s">
        <v>31</v>
      </c>
      <c r="F499" s="7" t="s">
        <v>9</v>
      </c>
      <c r="G499" s="7" t="str">
        <f>IF(F499="P1","Normal activity",IF(F499="P2","Clustering / aggregation",IF(F499="P3","Agitation",IF(F499="P4","Lethargy",IF(F499="P5","Jumping / splashing",IF(F499="P6","Reactivity to noise"))))))</f>
        <v>Normal activity</v>
      </c>
      <c r="H499" s="7" t="str">
        <f>IF(F499="P1","Regular swimming, even distribution",IF(F499="P2","Fish grouped in one corner",IF(F499="P3","Rapid swimming, escape behavior",IF(F499="P4","Little movement",IF(F499="P5","Jumping out of the water",IF(F499="P6","Reaction to a tool or impact"))))))</f>
        <v>Regular swimming, even distribution</v>
      </c>
      <c r="I499" s="6" t="s">
        <v>347</v>
      </c>
    </row>
    <row r="500" spans="1:9" x14ac:dyDescent="0.35">
      <c r="A500" s="13">
        <v>46179</v>
      </c>
      <c r="B500" s="10">
        <v>0.38124999999999998</v>
      </c>
      <c r="C500" s="10">
        <v>0.38819444444444445</v>
      </c>
      <c r="D500" s="5">
        <f>C500-B500</f>
        <v>6.9444444444444753E-3</v>
      </c>
      <c r="E500" s="6" t="s">
        <v>27</v>
      </c>
      <c r="F500" s="7" t="s">
        <v>12</v>
      </c>
      <c r="G500" s="7" t="str">
        <f>IF(F500="P1","Normal activity",IF(F500="P2","Clustering / aggregation",IF(F500="P3","Agitation",IF(F500="P4","Lethargy",IF(F500="P5","Jumping / splashing",IF(F500="P6","Reactivity to noise"))))))</f>
        <v>Clustering / aggregation</v>
      </c>
      <c r="H500" s="7" t="str">
        <f>IF(F500="P1","Regular swimming, even distribution",IF(F500="P2","Fish grouped in one corner",IF(F500="P3","Rapid swimming, escape behavior",IF(F500="P4","Little movement",IF(F500="P5","Jumping out of the water",IF(F500="P6","Reaction to a tool or impact"))))))</f>
        <v>Fish grouped in one corner</v>
      </c>
      <c r="I500" s="6" t="s">
        <v>348</v>
      </c>
    </row>
    <row r="501" spans="1:9" x14ac:dyDescent="0.35">
      <c r="A501" s="13">
        <v>46179</v>
      </c>
      <c r="B501" s="10">
        <v>0.38124999999999998</v>
      </c>
      <c r="C501" s="10">
        <v>0.38819444444444445</v>
      </c>
      <c r="D501" s="5">
        <f>C501-B501</f>
        <v>6.9444444444444753E-3</v>
      </c>
      <c r="E501" s="6" t="s">
        <v>28</v>
      </c>
      <c r="F501" s="7" t="s">
        <v>12</v>
      </c>
      <c r="G501" s="7" t="str">
        <f>IF(F501="P1","Normal activity",IF(F501="P2","Clustering / aggregation",IF(F501="P3","Agitation",IF(F501="P4","Lethargy",IF(F501="P5","Jumping / splashing",IF(F501="P6","Reactivity to noise"))))))</f>
        <v>Clustering / aggregation</v>
      </c>
      <c r="H501" s="7" t="str">
        <f>IF(F501="P1","Regular swimming, even distribution",IF(F501="P2","Fish grouped in one corner",IF(F501="P3","Rapid swimming, escape behavior",IF(F501="P4","Little movement",IF(F501="P5","Jumping out of the water",IF(F501="P6","Reaction to a tool or impact"))))))</f>
        <v>Fish grouped in one corner</v>
      </c>
      <c r="I501" s="6" t="s">
        <v>341</v>
      </c>
    </row>
    <row r="502" spans="1:9" x14ac:dyDescent="0.35">
      <c r="A502" s="13">
        <v>46179</v>
      </c>
      <c r="B502" s="10">
        <v>0.38124999999999998</v>
      </c>
      <c r="C502" s="10">
        <v>0.38819444444444445</v>
      </c>
      <c r="D502" s="5">
        <f>C502-B502</f>
        <v>6.9444444444444753E-3</v>
      </c>
      <c r="E502" s="6" t="s">
        <v>28</v>
      </c>
      <c r="F502" s="7" t="s">
        <v>9</v>
      </c>
      <c r="G502" s="7" t="str">
        <f>IF(F502="P1","Normal activity",IF(F502="P2","Clustering / aggregation",IF(F502="P3","Agitation",IF(F502="P4","Lethargy",IF(F502="P5","Jumping / splashing",IF(F502="P6","Reactivity to noise"))))))</f>
        <v>Normal activity</v>
      </c>
      <c r="H502" s="7" t="str">
        <f>IF(F502="P1","Regular swimming, even distribution",IF(F502="P2","Fish grouped in one corner",IF(F502="P3","Rapid swimming, escape behavior",IF(F502="P4","Little movement",IF(F502="P5","Jumping out of the water",IF(F502="P6","Reaction to a tool or impact"))))))</f>
        <v>Regular swimming, even distribution</v>
      </c>
      <c r="I502" s="6" t="s">
        <v>349</v>
      </c>
    </row>
    <row r="503" spans="1:9" x14ac:dyDescent="0.35">
      <c r="A503" s="13">
        <v>46179</v>
      </c>
      <c r="B503" s="10">
        <v>0.38124999999999998</v>
      </c>
      <c r="C503" s="10">
        <v>0.38819444444444445</v>
      </c>
      <c r="D503" s="5">
        <f>C503-B503</f>
        <v>6.9444444444444753E-3</v>
      </c>
      <c r="E503" s="6" t="s">
        <v>28</v>
      </c>
      <c r="F503" s="7" t="s">
        <v>15</v>
      </c>
      <c r="G503" s="7" t="str">
        <f>IF(F503="P1","Normal activity",IF(F503="P2","Clustering / aggregation",IF(F503="P3","Agitation",IF(F503="P4","Lethargy",IF(F503="P5","Jumping / splashing",IF(F503="P6","Reactivity to noise"))))))</f>
        <v>Agitation</v>
      </c>
      <c r="H503" s="7" t="str">
        <f>IF(F503="P1","Regular swimming, even distribution",IF(F503="P2","Fish grouped in one corner",IF(F503="P3","Rapid swimming, escape behavior",IF(F503="P4","Little movement",IF(F503="P5","Jumping out of the water",IF(F503="P6","Reaction to a tool or impact"))))))</f>
        <v>Rapid swimming, escape behavior</v>
      </c>
      <c r="I503" s="6" t="s">
        <v>350</v>
      </c>
    </row>
    <row r="504" spans="1:9" x14ac:dyDescent="0.35">
      <c r="A504" s="13">
        <v>46179</v>
      </c>
      <c r="B504" s="10">
        <v>0.38124999999999998</v>
      </c>
      <c r="C504" s="10">
        <v>0.38819444444444445</v>
      </c>
      <c r="D504" s="5">
        <f>C504-B504</f>
        <v>6.9444444444444753E-3</v>
      </c>
      <c r="E504" s="6" t="s">
        <v>29</v>
      </c>
      <c r="F504" s="7" t="s">
        <v>12</v>
      </c>
      <c r="G504" s="7" t="str">
        <f>IF(F504="P1","Normal activity",IF(F504="P2","Clustering / aggregation",IF(F504="P3","Agitation",IF(F504="P4","Lethargy",IF(F504="P5","Jumping / splashing",IF(F504="P6","Reactivity to noise"))))))</f>
        <v>Clustering / aggregation</v>
      </c>
      <c r="H504" s="7" t="str">
        <f>IF(F504="P1","Regular swimming, even distribution",IF(F504="P2","Fish grouped in one corner",IF(F504="P3","Rapid swimming, escape behavior",IF(F504="P4","Little movement",IF(F504="P5","Jumping out of the water",IF(F504="P6","Reaction to a tool or impact"))))))</f>
        <v>Fish grouped in one corner</v>
      </c>
      <c r="I504" s="6" t="s">
        <v>341</v>
      </c>
    </row>
    <row r="505" spans="1:9" x14ac:dyDescent="0.35">
      <c r="A505" s="13">
        <v>46179</v>
      </c>
      <c r="B505" s="10">
        <v>0.38124999999999998</v>
      </c>
      <c r="C505" s="10">
        <v>0.38819444444444445</v>
      </c>
      <c r="D505" s="5">
        <f>C505-B505</f>
        <v>6.9444444444444753E-3</v>
      </c>
      <c r="E505" s="6" t="s">
        <v>29</v>
      </c>
      <c r="F505" s="7" t="s">
        <v>9</v>
      </c>
      <c r="G505" s="7" t="str">
        <f>IF(F505="P1","Normal activity",IF(F505="P2","Clustering / aggregation",IF(F505="P3","Agitation",IF(F505="P4","Lethargy",IF(F505="P5","Jumping / splashing",IF(F505="P6","Reactivity to noise"))))))</f>
        <v>Normal activity</v>
      </c>
      <c r="H505" s="7" t="str">
        <f>IF(F505="P1","Regular swimming, even distribution",IF(F505="P2","Fish grouped in one corner",IF(F505="P3","Rapid swimming, escape behavior",IF(F505="P4","Little movement",IF(F505="P5","Jumping out of the water",IF(F505="P6","Reaction to a tool or impact"))))))</f>
        <v>Regular swimming, even distribution</v>
      </c>
      <c r="I505" s="6" t="s">
        <v>351</v>
      </c>
    </row>
    <row r="506" spans="1:9" x14ac:dyDescent="0.35">
      <c r="A506" s="13">
        <v>46179</v>
      </c>
      <c r="B506" s="10">
        <v>0.38124999999999998</v>
      </c>
      <c r="C506" s="10">
        <v>0.38819444444444445</v>
      </c>
      <c r="D506" s="5">
        <f>C506-B506</f>
        <v>6.9444444444444753E-3</v>
      </c>
      <c r="E506" s="6" t="s">
        <v>29</v>
      </c>
      <c r="F506" s="7" t="s">
        <v>15</v>
      </c>
      <c r="G506" s="7" t="str">
        <f>IF(F506="P1","Normal activity",IF(F506="P2","Clustering / aggregation",IF(F506="P3","Agitation",IF(F506="P4","Lethargy",IF(F506="P5","Jumping / splashing",IF(F506="P6","Reactivity to noise"))))))</f>
        <v>Agitation</v>
      </c>
      <c r="H506" s="7" t="str">
        <f>IF(F506="P1","Regular swimming, even distribution",IF(F506="P2","Fish grouped in one corner",IF(F506="P3","Rapid swimming, escape behavior",IF(F506="P4","Little movement",IF(F506="P5","Jumping out of the water",IF(F506="P6","Reaction to a tool or impact"))))))</f>
        <v>Rapid swimming, escape behavior</v>
      </c>
      <c r="I506" s="10" t="s">
        <v>352</v>
      </c>
    </row>
    <row r="507" spans="1:9" x14ac:dyDescent="0.35">
      <c r="A507" s="13">
        <v>46179</v>
      </c>
      <c r="B507" s="10">
        <v>0.38124999999999998</v>
      </c>
      <c r="C507" s="10">
        <v>0.38819444444444445</v>
      </c>
      <c r="D507" s="5">
        <f>C507-B507</f>
        <v>6.9444444444444753E-3</v>
      </c>
      <c r="E507" s="6" t="s">
        <v>31</v>
      </c>
      <c r="F507" s="7" t="s">
        <v>12</v>
      </c>
      <c r="G507" s="7" t="str">
        <f>IF(F507="P1","Normal activity",IF(F507="P2","Clustering / aggregation",IF(F507="P3","Agitation",IF(F507="P4","Lethargy",IF(F507="P5","Jumping / splashing",IF(F507="P6","Reactivity to noise"))))))</f>
        <v>Clustering / aggregation</v>
      </c>
      <c r="H507" s="7" t="str">
        <f>IF(F507="P1","Regular swimming, even distribution",IF(F507="P2","Fish grouped in one corner",IF(F507="P3","Rapid swimming, escape behavior",IF(F507="P4","Little movement",IF(F507="P5","Jumping out of the water",IF(F507="P6","Reaction to a tool or impact"))))))</f>
        <v>Fish grouped in one corner</v>
      </c>
      <c r="I507" s="6" t="s">
        <v>346</v>
      </c>
    </row>
    <row r="508" spans="1:9" x14ac:dyDescent="0.35">
      <c r="A508" s="13">
        <v>46179</v>
      </c>
      <c r="B508" s="10">
        <v>0.38124999999999998</v>
      </c>
      <c r="C508" s="10">
        <v>0.38819444444444445</v>
      </c>
      <c r="D508" s="5">
        <f>C508-B508</f>
        <v>6.9444444444444753E-3</v>
      </c>
      <c r="E508" s="6" t="s">
        <v>31</v>
      </c>
      <c r="F508" s="7" t="s">
        <v>15</v>
      </c>
      <c r="G508" s="7" t="str">
        <f>IF(F508="P1","Normal activity",IF(F508="P2","Clustering / aggregation",IF(F508="P3","Agitation",IF(F508="P4","Lethargy",IF(F508="P5","Jumping / splashing",IF(F508="P6","Reactivity to noise"))))))</f>
        <v>Agitation</v>
      </c>
      <c r="H508" s="7" t="str">
        <f>IF(F508="P1","Regular swimming, even distribution",IF(F508="P2","Fish grouped in one corner",IF(F508="P3","Rapid swimming, escape behavior",IF(F508="P4","Little movement",IF(F508="P5","Jumping out of the water",IF(F508="P6","Reaction to a tool or impact"))))))</f>
        <v>Rapid swimming, escape behavior</v>
      </c>
      <c r="I508" s="6" t="s">
        <v>353</v>
      </c>
    </row>
    <row r="509" spans="1:9" x14ac:dyDescent="0.35">
      <c r="A509" s="13">
        <v>46179</v>
      </c>
      <c r="B509" s="10">
        <v>0.38124999999999998</v>
      </c>
      <c r="C509" s="10">
        <v>0.38819444444444445</v>
      </c>
      <c r="D509" s="5">
        <f>C509-B509</f>
        <v>6.9444444444444753E-3</v>
      </c>
      <c r="E509" s="6" t="s">
        <v>31</v>
      </c>
      <c r="F509" s="7" t="s">
        <v>9</v>
      </c>
      <c r="G509" s="7" t="str">
        <f>IF(F509="P1","Normal activity",IF(F509="P2","Clustering / aggregation",IF(F509="P3","Agitation",IF(F509="P4","Lethargy",IF(F509="P5","Jumping / splashing",IF(F509="P6","Reactivity to noise"))))))</f>
        <v>Normal activity</v>
      </c>
      <c r="H509" s="7" t="str">
        <f>IF(F509="P1","Regular swimming, even distribution",IF(F509="P2","Fish grouped in one corner",IF(F509="P3","Rapid swimming, escape behavior",IF(F509="P4","Little movement",IF(F509="P5","Jumping out of the water",IF(F509="P6","Reaction to a tool or impact"))))))</f>
        <v>Regular swimming, even distribution</v>
      </c>
      <c r="I509" s="6" t="s">
        <v>354</v>
      </c>
    </row>
    <row r="510" spans="1:9" x14ac:dyDescent="0.35">
      <c r="A510" s="13">
        <v>46179</v>
      </c>
      <c r="B510" s="10">
        <v>0.3888888888888889</v>
      </c>
      <c r="C510" s="10">
        <v>0.3923611111111111</v>
      </c>
      <c r="D510" s="5">
        <f>C510-B510</f>
        <v>3.4722222222222099E-3</v>
      </c>
      <c r="E510" s="11"/>
      <c r="F510" s="12"/>
      <c r="G510" s="7" t="b">
        <f>IF(F510="P1","Normal activity",IF(F510="P2","Clustering / aggregation",IF(F510="P3","Agitation",IF(F510="P4","Lethargy",IF(F510="P5","Jumping / splashing",IF(F510="P6","Reactivity to noise"))))))</f>
        <v>0</v>
      </c>
      <c r="H510" s="7" t="b">
        <f>IF(F510="P1","Regular swimming, even distribution",IF(F510="P2","Fish grouped in one corner",IF(F510="P3","Rapid swimming, escape behavior",IF(F510="P4","Little movement",IF(F510="P5","Jumping out of the water",IF(F510="P6","Reaction to a tool or impact"))))))</f>
        <v>0</v>
      </c>
      <c r="I510" s="6" t="s">
        <v>355</v>
      </c>
    </row>
    <row r="511" spans="1:9" x14ac:dyDescent="0.35">
      <c r="A511" s="13">
        <v>46179</v>
      </c>
      <c r="B511" s="10">
        <v>0.39305555555555555</v>
      </c>
      <c r="C511" s="10">
        <v>0.4</v>
      </c>
      <c r="D511" s="5">
        <f>C511-B511</f>
        <v>6.9444444444444753E-3</v>
      </c>
      <c r="E511" s="6" t="s">
        <v>27</v>
      </c>
      <c r="F511" s="7" t="s">
        <v>12</v>
      </c>
      <c r="G511" s="7" t="str">
        <f>IF(F511="P1","Normal activity",IF(F511="P2","Clustering / aggregation",IF(F511="P3","Agitation",IF(F511="P4","Lethargy",IF(F511="P5","Jumping / splashing",IF(F511="P6","Reactivity to noise"))))))</f>
        <v>Clustering / aggregation</v>
      </c>
      <c r="H511" s="7" t="str">
        <f>IF(F511="P1","Regular swimming, even distribution",IF(F511="P2","Fish grouped in one corner",IF(F511="P3","Rapid swimming, escape behavior",IF(F511="P4","Little movement",IF(F511="P5","Jumping out of the water",IF(F511="P6","Reaction to a tool or impact"))))))</f>
        <v>Fish grouped in one corner</v>
      </c>
      <c r="I511" s="6" t="s">
        <v>341</v>
      </c>
    </row>
    <row r="512" spans="1:9" x14ac:dyDescent="0.35">
      <c r="A512" s="13">
        <v>46179</v>
      </c>
      <c r="B512" s="10">
        <v>0.39305555555555555</v>
      </c>
      <c r="C512" s="10">
        <v>0.4</v>
      </c>
      <c r="D512" s="5">
        <f>C512-B512</f>
        <v>6.9444444444444753E-3</v>
      </c>
      <c r="E512" s="6" t="s">
        <v>27</v>
      </c>
      <c r="F512" s="7" t="s">
        <v>9</v>
      </c>
      <c r="G512" s="7" t="str">
        <f>IF(F512="P1","Normal activity",IF(F512="P2","Clustering / aggregation",IF(F512="P3","Agitation",IF(F512="P4","Lethargy",IF(F512="P5","Jumping / splashing",IF(F512="P6","Reactivity to noise"))))))</f>
        <v>Normal activity</v>
      </c>
      <c r="H512" s="7" t="str">
        <f>IF(F512="P1","Regular swimming, even distribution",IF(F512="P2","Fish grouped in one corner",IF(F512="P3","Rapid swimming, escape behavior",IF(F512="P4","Little movement",IF(F512="P5","Jumping out of the water",IF(F512="P6","Reaction to a tool or impact"))))))</f>
        <v>Regular swimming, even distribution</v>
      </c>
      <c r="I512" s="6"/>
    </row>
    <row r="513" spans="1:9" x14ac:dyDescent="0.35">
      <c r="A513" s="13">
        <v>46179</v>
      </c>
      <c r="B513" s="10">
        <v>0.39305555555555555</v>
      </c>
      <c r="C513" s="10">
        <v>0.4</v>
      </c>
      <c r="D513" s="5">
        <f>C513-B513</f>
        <v>6.9444444444444753E-3</v>
      </c>
      <c r="E513" s="6" t="s">
        <v>27</v>
      </c>
      <c r="F513" s="7" t="s">
        <v>15</v>
      </c>
      <c r="G513" s="7" t="str">
        <f>IF(F513="P1","Normal activity",IF(F513="P2","Clustering / aggregation",IF(F513="P3","Agitation",IF(F513="P4","Lethargy",IF(F513="P5","Jumping / splashing",IF(F513="P6","Reactivity to noise"))))))</f>
        <v>Agitation</v>
      </c>
      <c r="H513" s="7" t="str">
        <f>IF(F513="P1","Regular swimming, even distribution",IF(F513="P2","Fish grouped in one corner",IF(F513="P3","Rapid swimming, escape behavior",IF(F513="P4","Little movement",IF(F513="P5","Jumping out of the water",IF(F513="P6","Reaction to a tool or impact"))))))</f>
        <v>Rapid swimming, escape behavior</v>
      </c>
      <c r="I513" s="6" t="s">
        <v>356</v>
      </c>
    </row>
    <row r="514" spans="1:9" x14ac:dyDescent="0.35">
      <c r="A514" s="13">
        <v>46179</v>
      </c>
      <c r="B514" s="10">
        <v>0.39305555555555555</v>
      </c>
      <c r="C514" s="10">
        <v>0.4</v>
      </c>
      <c r="D514" s="5">
        <f>C514-B514</f>
        <v>6.9444444444444753E-3</v>
      </c>
      <c r="E514" s="6" t="s">
        <v>28</v>
      </c>
      <c r="F514" s="7" t="s">
        <v>12</v>
      </c>
      <c r="G514" s="7" t="str">
        <f>IF(F514="P1","Normal activity",IF(F514="P2","Clustering / aggregation",IF(F514="P3","Agitation",IF(F514="P4","Lethargy",IF(F514="P5","Jumping / splashing",IF(F514="P6","Reactivity to noise"))))))</f>
        <v>Clustering / aggregation</v>
      </c>
      <c r="H514" s="7" t="str">
        <f>IF(F514="P1","Regular swimming, even distribution",IF(F514="P2","Fish grouped in one corner",IF(F514="P3","Rapid swimming, escape behavior",IF(F514="P4","Little movement",IF(F514="P5","Jumping out of the water",IF(F514="P6","Reaction to a tool or impact"))))))</f>
        <v>Fish grouped in one corner</v>
      </c>
      <c r="I514" s="6" t="s">
        <v>357</v>
      </c>
    </row>
    <row r="515" spans="1:9" x14ac:dyDescent="0.35">
      <c r="A515" s="13">
        <v>46179</v>
      </c>
      <c r="B515" s="10">
        <v>0.39305555555555555</v>
      </c>
      <c r="C515" s="10">
        <v>0.4</v>
      </c>
      <c r="D515" s="5">
        <f>C515-B515</f>
        <v>6.9444444444444753E-3</v>
      </c>
      <c r="E515" s="6" t="s">
        <v>28</v>
      </c>
      <c r="F515" s="7" t="s">
        <v>9</v>
      </c>
      <c r="G515" s="7" t="str">
        <f>IF(F515="P1","Normal activity",IF(F515="P2","Clustering / aggregation",IF(F515="P3","Agitation",IF(F515="P4","Lethargy",IF(F515="P5","Jumping / splashing",IF(F515="P6","Reactivity to noise"))))))</f>
        <v>Normal activity</v>
      </c>
      <c r="H515" s="7" t="str">
        <f>IF(F515="P1","Regular swimming, even distribution",IF(F515="P2","Fish grouped in one corner",IF(F515="P3","Rapid swimming, escape behavior",IF(F515="P4","Little movement",IF(F515="P5","Jumping out of the water",IF(F515="P6","Reaction to a tool or impact"))))))</f>
        <v>Regular swimming, even distribution</v>
      </c>
      <c r="I515" s="6" t="s">
        <v>358</v>
      </c>
    </row>
    <row r="516" spans="1:9" x14ac:dyDescent="0.35">
      <c r="A516" s="13">
        <v>46179</v>
      </c>
      <c r="B516" s="10">
        <v>0.39305555555555555</v>
      </c>
      <c r="C516" s="10">
        <v>0.4</v>
      </c>
      <c r="D516" s="5">
        <f>C516-B516</f>
        <v>6.9444444444444753E-3</v>
      </c>
      <c r="E516" s="6" t="s">
        <v>29</v>
      </c>
      <c r="F516" s="7" t="s">
        <v>12</v>
      </c>
      <c r="G516" s="7" t="str">
        <f>IF(F516="P1","Normal activity",IF(F516="P2","Clustering / aggregation",IF(F516="P3","Agitation",IF(F516="P4","Lethargy",IF(F516="P5","Jumping / splashing",IF(F516="P6","Reactivity to noise"))))))</f>
        <v>Clustering / aggregation</v>
      </c>
      <c r="H516" s="7" t="str">
        <f>IF(F516="P1","Regular swimming, even distribution",IF(F516="P2","Fish grouped in one corner",IF(F516="P3","Rapid swimming, escape behavior",IF(F516="P4","Little movement",IF(F516="P5","Jumping out of the water",IF(F516="P6","Reaction to a tool or impact"))))))</f>
        <v>Fish grouped in one corner</v>
      </c>
      <c r="I516" s="6" t="s">
        <v>341</v>
      </c>
    </row>
    <row r="517" spans="1:9" x14ac:dyDescent="0.35">
      <c r="A517" s="13">
        <v>46179</v>
      </c>
      <c r="B517" s="10">
        <v>0.39305555555555555</v>
      </c>
      <c r="C517" s="10">
        <v>0.4</v>
      </c>
      <c r="D517" s="5">
        <f>C517-B517</f>
        <v>6.9444444444444753E-3</v>
      </c>
      <c r="E517" s="6" t="s">
        <v>29</v>
      </c>
      <c r="F517" s="7" t="s">
        <v>9</v>
      </c>
      <c r="G517" s="7" t="str">
        <f>IF(F517="P1","Normal activity",IF(F517="P2","Clustering / aggregation",IF(F517="P3","Agitation",IF(F517="P4","Lethargy",IF(F517="P5","Jumping / splashing",IF(F517="P6","Reactivity to noise"))))))</f>
        <v>Normal activity</v>
      </c>
      <c r="H517" s="7" t="str">
        <f>IF(F517="P1","Regular swimming, even distribution",IF(F517="P2","Fish grouped in one corner",IF(F517="P3","Rapid swimming, escape behavior",IF(F517="P4","Little movement",IF(F517="P5","Jumping out of the water",IF(F517="P6","Reaction to a tool or impact"))))))</f>
        <v>Regular swimming, even distribution</v>
      </c>
      <c r="I517" s="6" t="s">
        <v>359</v>
      </c>
    </row>
    <row r="518" spans="1:9" x14ac:dyDescent="0.35">
      <c r="A518" s="13">
        <v>46179</v>
      </c>
      <c r="B518" s="10">
        <v>0.39305555555555555</v>
      </c>
      <c r="C518" s="10">
        <v>0.4</v>
      </c>
      <c r="D518" s="5">
        <f>C518-B518</f>
        <v>6.9444444444444753E-3</v>
      </c>
      <c r="E518" s="6" t="s">
        <v>29</v>
      </c>
      <c r="F518" s="7" t="s">
        <v>15</v>
      </c>
      <c r="G518" s="7" t="str">
        <f>IF(F518="P1","Normal activity",IF(F518="P2","Clustering / aggregation",IF(F518="P3","Agitation",IF(F518="P4","Lethargy",IF(F518="P5","Jumping / splashing",IF(F518="P6","Reactivity to noise"))))))</f>
        <v>Agitation</v>
      </c>
      <c r="H518" s="7" t="str">
        <f>IF(F518="P1","Regular swimming, even distribution",IF(F518="P2","Fish grouped in one corner",IF(F518="P3","Rapid swimming, escape behavior",IF(F518="P4","Little movement",IF(F518="P5","Jumping out of the water",IF(F518="P6","Reaction to a tool or impact"))))))</f>
        <v>Rapid swimming, escape behavior</v>
      </c>
      <c r="I518" s="6" t="s">
        <v>360</v>
      </c>
    </row>
    <row r="519" spans="1:9" x14ac:dyDescent="0.35">
      <c r="A519" s="13">
        <v>46179</v>
      </c>
      <c r="B519" s="10">
        <v>0.39305555555555555</v>
      </c>
      <c r="C519" s="10">
        <v>0.4</v>
      </c>
      <c r="D519" s="5">
        <f>C519-B519</f>
        <v>6.9444444444444753E-3</v>
      </c>
      <c r="E519" s="6" t="s">
        <v>31</v>
      </c>
      <c r="F519" s="7" t="s">
        <v>15</v>
      </c>
      <c r="G519" s="7" t="str">
        <f>IF(F519="P1","Normal activity",IF(F519="P2","Clustering / aggregation",IF(F519="P3","Agitation",IF(F519="P4","Lethargy",IF(F519="P5","Jumping / splashing",IF(F519="P6","Reactivity to noise"))))))</f>
        <v>Agitation</v>
      </c>
      <c r="H519" s="7" t="str">
        <f>IF(F519="P1","Regular swimming, even distribution",IF(F519="P2","Fish grouped in one corner",IF(F519="P3","Rapid swimming, escape behavior",IF(F519="P4","Little movement",IF(F519="P5","Jumping out of the water",IF(F519="P6","Reaction to a tool or impact"))))))</f>
        <v>Rapid swimming, escape behavior</v>
      </c>
      <c r="I519" s="6" t="s">
        <v>361</v>
      </c>
    </row>
    <row r="520" spans="1:9" x14ac:dyDescent="0.35">
      <c r="A520" s="13">
        <v>46179</v>
      </c>
      <c r="B520" s="10">
        <v>0.39305555555555555</v>
      </c>
      <c r="C520" s="10">
        <v>0.4</v>
      </c>
      <c r="D520" s="5">
        <f>C520-B520</f>
        <v>6.9444444444444753E-3</v>
      </c>
      <c r="E520" s="6" t="s">
        <v>31</v>
      </c>
      <c r="F520" s="7" t="s">
        <v>12</v>
      </c>
      <c r="G520" s="7" t="str">
        <f>IF(F520="P1","Normal activity",IF(F520="P2","Clustering / aggregation",IF(F520="P3","Agitation",IF(F520="P4","Lethargy",IF(F520="P5","Jumping / splashing",IF(F520="P6","Reactivity to noise"))))))</f>
        <v>Clustering / aggregation</v>
      </c>
      <c r="H520" s="7" t="str">
        <f>IF(F520="P1","Regular swimming, even distribution",IF(F520="P2","Fish grouped in one corner",IF(F520="P3","Rapid swimming, escape behavior",IF(F520="P4","Little movement",IF(F520="P5","Jumping out of the water",IF(F520="P6","Reaction to a tool or impact"))))))</f>
        <v>Fish grouped in one corner</v>
      </c>
      <c r="I520" s="6" t="s">
        <v>362</v>
      </c>
    </row>
    <row r="521" spans="1:9" x14ac:dyDescent="0.35">
      <c r="A521" s="13">
        <v>46179</v>
      </c>
      <c r="B521" s="10">
        <v>0.39305555555555555</v>
      </c>
      <c r="C521" s="10">
        <v>0.4</v>
      </c>
      <c r="D521" s="5">
        <f>C521-B521</f>
        <v>6.9444444444444753E-3</v>
      </c>
      <c r="E521" s="6" t="s">
        <v>31</v>
      </c>
      <c r="F521" s="7" t="s">
        <v>15</v>
      </c>
      <c r="G521" s="7" t="str">
        <f>IF(F521="P1","Normal activity",IF(F521="P2","Clustering / aggregation",IF(F521="P3","Agitation",IF(F521="P4","Lethargy",IF(F521="P5","Jumping / splashing",IF(F521="P6","Reactivity to noise"))))))</f>
        <v>Agitation</v>
      </c>
      <c r="H521" s="7" t="str">
        <f>IF(F521="P1","Regular swimming, even distribution",IF(F521="P2","Fish grouped in one corner",IF(F521="P3","Rapid swimming, escape behavior",IF(F521="P4","Little movement",IF(F521="P5","Jumping out of the water",IF(F521="P6","Reaction to a tool or impact"))))))</f>
        <v>Rapid swimming, escape behavior</v>
      </c>
      <c r="I521" s="6" t="s">
        <v>363</v>
      </c>
    </row>
    <row r="522" spans="1:9" x14ac:dyDescent="0.35">
      <c r="A522" s="13">
        <v>46179</v>
      </c>
      <c r="B522" s="10">
        <v>0.39305555555555555</v>
      </c>
      <c r="C522" s="10">
        <v>0.4</v>
      </c>
      <c r="D522" s="5">
        <f>C522-B522</f>
        <v>6.9444444444444753E-3</v>
      </c>
      <c r="E522" s="6" t="s">
        <v>31</v>
      </c>
      <c r="F522" s="7" t="s">
        <v>9</v>
      </c>
      <c r="G522" s="7" t="str">
        <f>IF(F522="P1","Normal activity",IF(F522="P2","Clustering / aggregation",IF(F522="P3","Agitation",IF(F522="P4","Lethargy",IF(F522="P5","Jumping / splashing",IF(F522="P6","Reactivity to noise"))))))</f>
        <v>Normal activity</v>
      </c>
      <c r="H522" s="7" t="str">
        <f>IF(F522="P1","Regular swimming, even distribution",IF(F522="P2","Fish grouped in one corner",IF(F522="P3","Rapid swimming, escape behavior",IF(F522="P4","Little movement",IF(F522="P5","Jumping out of the water",IF(F522="P6","Reaction to a tool or impact"))))))</f>
        <v>Regular swimming, even distribution</v>
      </c>
      <c r="I522" s="6" t="s">
        <v>364</v>
      </c>
    </row>
    <row r="523" spans="1:9" x14ac:dyDescent="0.35">
      <c r="A523" s="13">
        <v>46179</v>
      </c>
      <c r="B523" s="10">
        <v>0.45</v>
      </c>
      <c r="C523" s="10">
        <v>0.45694444444444443</v>
      </c>
      <c r="D523" s="5">
        <f>C523-B523</f>
        <v>6.9444444444444198E-3</v>
      </c>
      <c r="E523" s="6" t="s">
        <v>27</v>
      </c>
      <c r="F523" s="7" t="s">
        <v>12</v>
      </c>
      <c r="G523" s="7" t="str">
        <f>IF(F523="P1","Normal activity",IF(F523="P2","Clustering / aggregation",IF(F523="P3","Agitation",IF(F523="P4","Lethargy",IF(F523="P5","Jumping / splashing",IF(F523="P6","Reactivity to noise"))))))</f>
        <v>Clustering / aggregation</v>
      </c>
      <c r="H523" s="7" t="str">
        <f>IF(F523="P1","Regular swimming, even distribution",IF(F523="P2","Fish grouped in one corner",IF(F523="P3","Rapid swimming, escape behavior",IF(F523="P4","Little movement",IF(F523="P5","Jumping out of the water",IF(F523="P6","Reaction to a tool or impact"))))))</f>
        <v>Fish grouped in one corner</v>
      </c>
      <c r="I523" s="6" t="s">
        <v>341</v>
      </c>
    </row>
    <row r="524" spans="1:9" x14ac:dyDescent="0.35">
      <c r="A524" s="13">
        <v>46179</v>
      </c>
      <c r="B524" s="10">
        <v>0.45</v>
      </c>
      <c r="C524" s="10">
        <v>0.45694444444444443</v>
      </c>
      <c r="D524" s="5">
        <f>C524-B524</f>
        <v>6.9444444444444198E-3</v>
      </c>
      <c r="E524" s="6" t="s">
        <v>27</v>
      </c>
      <c r="F524" s="7" t="s">
        <v>9</v>
      </c>
      <c r="G524" s="7" t="str">
        <f>IF(F524="P1","Normal activity",IF(F524="P2","Clustering / aggregation",IF(F524="P3","Agitation",IF(F524="P4","Lethargy",IF(F524="P5","Jumping / splashing",IF(F524="P6","Reactivity to noise"))))))</f>
        <v>Normal activity</v>
      </c>
      <c r="H524" s="7" t="str">
        <f>IF(F524="P1","Regular swimming, even distribution",IF(F524="P2","Fish grouped in one corner",IF(F524="P3","Rapid swimming, escape behavior",IF(F524="P4","Little movement",IF(F524="P5","Jumping out of the water",IF(F524="P6","Reaction to a tool or impact"))))))</f>
        <v>Regular swimming, even distribution</v>
      </c>
      <c r="I524" s="6" t="s">
        <v>365</v>
      </c>
    </row>
    <row r="525" spans="1:9" x14ac:dyDescent="0.35">
      <c r="A525" s="13">
        <v>46179</v>
      </c>
      <c r="B525" s="10">
        <v>0.45</v>
      </c>
      <c r="C525" s="10">
        <v>0.45694444444444443</v>
      </c>
      <c r="D525" s="5">
        <f>C525-B525</f>
        <v>6.9444444444444198E-3</v>
      </c>
      <c r="E525" s="7" t="s">
        <v>27</v>
      </c>
      <c r="F525" s="7" t="s">
        <v>15</v>
      </c>
      <c r="G525" s="7" t="str">
        <f>IF(F525="P1","Normal activity",IF(F525="P2","Clustering / aggregation",IF(F525="P3","Agitation",IF(F525="P4","Lethargy",IF(F525="P5","Jumping / splashing",IF(F525="P6","Reactivity to noise"))))))</f>
        <v>Agitation</v>
      </c>
      <c r="H525" s="7" t="str">
        <f>IF(F525="P1","Regular swimming, even distribution",IF(F525="P2","Fish grouped in one corner",IF(F525="P3","Rapid swimming, escape behavior",IF(F525="P4","Little movement",IF(F525="P5","Jumping out of the water",IF(F525="P6","Reaction to a tool or impact"))))))</f>
        <v>Rapid swimming, escape behavior</v>
      </c>
      <c r="I525" s="6" t="s">
        <v>366</v>
      </c>
    </row>
    <row r="526" spans="1:9" x14ac:dyDescent="0.35">
      <c r="A526" s="13">
        <v>46179</v>
      </c>
      <c r="B526" s="10">
        <v>0.45</v>
      </c>
      <c r="C526" s="10">
        <v>0.45694444444444443</v>
      </c>
      <c r="D526" s="5">
        <f>C526-B526</f>
        <v>6.9444444444444198E-3</v>
      </c>
      <c r="E526" s="6" t="s">
        <v>28</v>
      </c>
      <c r="F526" s="7" t="s">
        <v>15</v>
      </c>
      <c r="G526" s="7" t="str">
        <f>IF(F526="P1","Normal activity",IF(F526="P2","Clustering / aggregation",IF(F526="P3","Agitation",IF(F526="P4","Lethargy",IF(F526="P5","Jumping / splashing",IF(F526="P6","Reactivity to noise"))))))</f>
        <v>Agitation</v>
      </c>
      <c r="H526" s="7" t="str">
        <f>IF(F526="P1","Regular swimming, even distribution",IF(F526="P2","Fish grouped in one corner",IF(F526="P3","Rapid swimming, escape behavior",IF(F526="P4","Little movement",IF(F526="P5","Jumping out of the water",IF(F526="P6","Reaction to a tool or impact"))))))</f>
        <v>Rapid swimming, escape behavior</v>
      </c>
      <c r="I526" s="6" t="s">
        <v>367</v>
      </c>
    </row>
    <row r="527" spans="1:9" x14ac:dyDescent="0.35">
      <c r="A527" s="13">
        <v>46179</v>
      </c>
      <c r="B527" s="10">
        <v>0.45</v>
      </c>
      <c r="C527" s="10">
        <v>0.45694444444444443</v>
      </c>
      <c r="D527" s="5">
        <f>C527-B527</f>
        <v>6.9444444444444198E-3</v>
      </c>
      <c r="E527" s="6" t="s">
        <v>28</v>
      </c>
      <c r="F527" s="7" t="s">
        <v>12</v>
      </c>
      <c r="G527" s="7" t="str">
        <f>IF(F527="P1","Normal activity",IF(F527="P2","Clustering / aggregation",IF(F527="P3","Agitation",IF(F527="P4","Lethargy",IF(F527="P5","Jumping / splashing",IF(F527="P6","Reactivity to noise"))))))</f>
        <v>Clustering / aggregation</v>
      </c>
      <c r="H527" s="7" t="str">
        <f>IF(F527="P1","Regular swimming, even distribution",IF(F527="P2","Fish grouped in one corner",IF(F527="P3","Rapid swimming, escape behavior",IF(F527="P4","Little movement",IF(F527="P5","Jumping out of the water",IF(F527="P6","Reaction to a tool or impact"))))))</f>
        <v>Fish grouped in one corner</v>
      </c>
      <c r="I527" s="6" t="s">
        <v>341</v>
      </c>
    </row>
    <row r="528" spans="1:9" x14ac:dyDescent="0.35">
      <c r="A528" s="13">
        <v>46179</v>
      </c>
      <c r="B528" s="10">
        <v>0.45</v>
      </c>
      <c r="C528" s="10">
        <v>0.45694444444444443</v>
      </c>
      <c r="D528" s="5">
        <f>C528-B528</f>
        <v>6.9444444444444198E-3</v>
      </c>
      <c r="E528" s="6" t="s">
        <v>28</v>
      </c>
      <c r="F528" s="7" t="s">
        <v>15</v>
      </c>
      <c r="G528" s="7" t="str">
        <f>IF(F528="P1","Normal activity",IF(F528="P2","Clustering / aggregation",IF(F528="P3","Agitation",IF(F528="P4","Lethargy",IF(F528="P5","Jumping / splashing",IF(F528="P6","Reactivity to noise"))))))</f>
        <v>Agitation</v>
      </c>
      <c r="H528" s="7" t="str">
        <f>IF(F528="P1","Regular swimming, even distribution",IF(F528="P2","Fish grouped in one corner",IF(F528="P3","Rapid swimming, escape behavior",IF(F528="P4","Little movement",IF(F528="P5","Jumping out of the water",IF(F528="P6","Reaction to a tool or impact"))))))</f>
        <v>Rapid swimming, escape behavior</v>
      </c>
      <c r="I528" s="6" t="s">
        <v>368</v>
      </c>
    </row>
    <row r="529" spans="1:9" x14ac:dyDescent="0.35">
      <c r="A529" s="13">
        <v>46179</v>
      </c>
      <c r="B529" s="10">
        <v>0.45</v>
      </c>
      <c r="C529" s="10">
        <v>0.45694444444444443</v>
      </c>
      <c r="D529" s="5">
        <f>C529-B529</f>
        <v>6.9444444444444198E-3</v>
      </c>
      <c r="E529" s="6" t="s">
        <v>28</v>
      </c>
      <c r="F529" s="7" t="s">
        <v>9</v>
      </c>
      <c r="G529" s="7" t="str">
        <f>IF(F529="P1","Normal activity",IF(F529="P2","Clustering / aggregation",IF(F529="P3","Agitation",IF(F529="P4","Lethargy",IF(F529="P5","Jumping / splashing",IF(F529="P6","Reactivity to noise"))))))</f>
        <v>Normal activity</v>
      </c>
      <c r="H529" s="7" t="str">
        <f>IF(F529="P1","Regular swimming, even distribution",IF(F529="P2","Fish grouped in one corner",IF(F529="P3","Rapid swimming, escape behavior",IF(F529="P4","Little movement",IF(F529="P5","Jumping out of the water",IF(F529="P6","Reaction to a tool or impact"))))))</f>
        <v>Regular swimming, even distribution</v>
      </c>
      <c r="I529" s="6" t="s">
        <v>365</v>
      </c>
    </row>
    <row r="530" spans="1:9" x14ac:dyDescent="0.35">
      <c r="A530" s="13">
        <v>46179</v>
      </c>
      <c r="B530" s="10">
        <v>0.45</v>
      </c>
      <c r="C530" s="10">
        <v>0.45694444444444443</v>
      </c>
      <c r="D530" s="5">
        <f>C530-B530</f>
        <v>6.9444444444444198E-3</v>
      </c>
      <c r="E530" s="6" t="s">
        <v>29</v>
      </c>
      <c r="F530" s="7" t="s">
        <v>9</v>
      </c>
      <c r="G530" s="7" t="str">
        <f>IF(F530="P1","Normal activity",IF(F530="P2","Clustering / aggregation",IF(F530="P3","Agitation",IF(F530="P4","Lethargy",IF(F530="P5","Jumping / splashing",IF(F530="P6","Reactivity to noise"))))))</f>
        <v>Normal activity</v>
      </c>
      <c r="H530" s="7" t="str">
        <f>IF(F530="P1","Regular swimming, even distribution",IF(F530="P2","Fish grouped in one corner",IF(F530="P3","Rapid swimming, escape behavior",IF(F530="P4","Little movement",IF(F530="P5","Jumping out of the water",IF(F530="P6","Reaction to a tool or impact"))))))</f>
        <v>Regular swimming, even distribution</v>
      </c>
      <c r="I530" s="6" t="s">
        <v>297</v>
      </c>
    </row>
    <row r="531" spans="1:9" x14ac:dyDescent="0.35">
      <c r="A531" s="13">
        <v>46179</v>
      </c>
      <c r="B531" s="10">
        <v>0.45</v>
      </c>
      <c r="C531" s="10">
        <v>0.45694444444444443</v>
      </c>
      <c r="D531" s="5">
        <f>C531-B531</f>
        <v>6.9444444444444198E-3</v>
      </c>
      <c r="E531" s="6" t="s">
        <v>29</v>
      </c>
      <c r="F531" s="7" t="s">
        <v>15</v>
      </c>
      <c r="G531" s="7" t="str">
        <f>IF(F531="P1","Normal activity",IF(F531="P2","Clustering / aggregation",IF(F531="P3","Agitation",IF(F531="P4","Lethargy",IF(F531="P5","Jumping / splashing",IF(F531="P6","Reactivity to noise"))))))</f>
        <v>Agitation</v>
      </c>
      <c r="H531" s="7" t="str">
        <f>IF(F531="P1","Regular swimming, even distribution",IF(F531="P2","Fish grouped in one corner",IF(F531="P3","Rapid swimming, escape behavior",IF(F531="P4","Little movement",IF(F531="P5","Jumping out of the water",IF(F531="P6","Reaction to a tool or impact"))))))</f>
        <v>Rapid swimming, escape behavior</v>
      </c>
      <c r="I531" s="6" t="s">
        <v>369</v>
      </c>
    </row>
    <row r="532" spans="1:9" x14ac:dyDescent="0.35">
      <c r="A532" s="13">
        <v>46179</v>
      </c>
      <c r="B532" s="10">
        <v>0.45</v>
      </c>
      <c r="C532" s="10">
        <v>0.45694444444444443</v>
      </c>
      <c r="D532" s="5">
        <f>C532-B532</f>
        <v>6.9444444444444198E-3</v>
      </c>
      <c r="E532" s="6" t="s">
        <v>31</v>
      </c>
      <c r="F532" s="7" t="s">
        <v>12</v>
      </c>
      <c r="G532" s="7" t="str">
        <f>IF(F532="P1","Normal activity",IF(F532="P2","Clustering / aggregation",IF(F532="P3","Agitation",IF(F532="P4","Lethargy",IF(F532="P5","Jumping / splashing",IF(F532="P6","Reactivity to noise"))))))</f>
        <v>Clustering / aggregation</v>
      </c>
      <c r="H532" s="7" t="str">
        <f>IF(F532="P1","Regular swimming, even distribution",IF(F532="P2","Fish grouped in one corner",IF(F532="P3","Rapid swimming, escape behavior",IF(F532="P4","Little movement",IF(F532="P5","Jumping out of the water",IF(F532="P6","Reaction to a tool or impact"))))))</f>
        <v>Fish grouped in one corner</v>
      </c>
      <c r="I532" s="6" t="s">
        <v>370</v>
      </c>
    </row>
    <row r="533" spans="1:9" x14ac:dyDescent="0.35">
      <c r="A533" s="13">
        <v>46179</v>
      </c>
      <c r="B533" s="10">
        <v>0.45</v>
      </c>
      <c r="C533" s="10">
        <v>0.45694444444444443</v>
      </c>
      <c r="D533" s="5">
        <f>C533-B533</f>
        <v>6.9444444444444198E-3</v>
      </c>
      <c r="E533" s="6" t="s">
        <v>31</v>
      </c>
      <c r="F533" s="7" t="s">
        <v>15</v>
      </c>
      <c r="G533" s="7" t="str">
        <f>IF(F533="P1","Normal activity",IF(F533="P2","Clustering / aggregation",IF(F533="P3","Agitation",IF(F533="P4","Lethargy",IF(F533="P5","Jumping / splashing",IF(F533="P6","Reactivity to noise"))))))</f>
        <v>Agitation</v>
      </c>
      <c r="H533" s="7" t="str">
        <f>IF(F533="P1","Regular swimming, even distribution",IF(F533="P2","Fish grouped in one corner",IF(F533="P3","Rapid swimming, escape behavior",IF(F533="P4","Little movement",IF(F533="P5","Jumping out of the water",IF(F533="P6","Reaction to a tool or impact"))))))</f>
        <v>Rapid swimming, escape behavior</v>
      </c>
      <c r="I533" s="6" t="s">
        <v>371</v>
      </c>
    </row>
    <row r="534" spans="1:9" x14ac:dyDescent="0.35">
      <c r="A534" s="13">
        <v>46179</v>
      </c>
      <c r="B534" s="10">
        <v>0.45</v>
      </c>
      <c r="C534" s="10">
        <v>0.45694444444444443</v>
      </c>
      <c r="D534" s="5">
        <f>C534-B534</f>
        <v>6.9444444444444198E-3</v>
      </c>
      <c r="E534" s="6" t="s">
        <v>31</v>
      </c>
      <c r="F534" s="7" t="s">
        <v>9</v>
      </c>
      <c r="G534" s="7" t="str">
        <f>IF(F534="P1","Normal activity",IF(F534="P2","Clustering / aggregation",IF(F534="P3","Agitation",IF(F534="P4","Lethargy",IF(F534="P5","Jumping / splashing",IF(F534="P6","Reactivity to noise"))))))</f>
        <v>Normal activity</v>
      </c>
      <c r="H534" s="7" t="str">
        <f>IF(F534="P1","Regular swimming, even distribution",IF(F534="P2","Fish grouped in one corner",IF(F534="P3","Rapid swimming, escape behavior",IF(F534="P4","Little movement",IF(F534="P5","Jumping out of the water",IF(F534="P6","Reaction to a tool or impact"))))))</f>
        <v>Regular swimming, even distribution</v>
      </c>
      <c r="I534" s="6" t="s">
        <v>372</v>
      </c>
    </row>
    <row r="535" spans="1:9" x14ac:dyDescent="0.35">
      <c r="A535" s="13">
        <v>46179</v>
      </c>
      <c r="B535" s="10">
        <v>0.45</v>
      </c>
      <c r="C535" s="10">
        <v>0.45694444444444443</v>
      </c>
      <c r="D535" s="5">
        <f>C535-B535</f>
        <v>6.9444444444444198E-3</v>
      </c>
      <c r="E535" s="6" t="s">
        <v>31</v>
      </c>
      <c r="F535" s="7" t="s">
        <v>18</v>
      </c>
      <c r="G535" s="7" t="str">
        <f>IF(F535="P1","Normal activity",IF(F535="P2","Clustering / aggregation",IF(F535="P3","Agitation",IF(F535="P4","Lethargy",IF(F535="P5","Jumping / splashing",IF(F535="P6","Reactivity to noise"))))))</f>
        <v>Lethargy</v>
      </c>
      <c r="H535" s="7" t="str">
        <f>IF(F535="P1","Regular swimming, even distribution",IF(F535="P2","Fish grouped in one corner",IF(F535="P3","Rapid swimming, escape behavior",IF(F535="P4","Little movement",IF(F535="P5","Jumping out of the water",IF(F535="P6","Reaction to a tool or impact"))))))</f>
        <v>Little movement</v>
      </c>
      <c r="I535" s="6" t="s">
        <v>373</v>
      </c>
    </row>
    <row r="536" spans="1:9" x14ac:dyDescent="0.35">
      <c r="A536" s="13">
        <v>46179</v>
      </c>
      <c r="B536" s="10">
        <v>0.45763888888888887</v>
      </c>
      <c r="C536" s="10">
        <v>0.46111111111111114</v>
      </c>
      <c r="D536" s="5">
        <f>C536-B536</f>
        <v>3.4722222222222654E-3</v>
      </c>
      <c r="E536" s="6"/>
      <c r="F536" s="7"/>
      <c r="G536" s="7" t="b">
        <f>IF(F536="P1","Normal activity",IF(F536="P2","Clustering / aggregation",IF(F536="P3","Agitation",IF(F536="P4","Lethargy",IF(F536="P5","Jumping / splashing",IF(F536="P6","Reactivity to noise"))))))</f>
        <v>0</v>
      </c>
      <c r="H536" s="7" t="b">
        <f>IF(F536="P1","Regular swimming, even distribution",IF(F536="P2","Fish grouped in one corner",IF(F536="P3","Rapid swimming, escape behavior",IF(F536="P4","Little movement",IF(F536="P5","Jumping out of the water",IF(F536="P6","Reaction to a tool or impact"))))))</f>
        <v>0</v>
      </c>
      <c r="I536" s="6" t="s">
        <v>355</v>
      </c>
    </row>
    <row r="537" spans="1:9" x14ac:dyDescent="0.35">
      <c r="A537" s="13">
        <v>46179</v>
      </c>
      <c r="B537" s="10">
        <v>0.46180555555555558</v>
      </c>
      <c r="C537" s="10">
        <v>0.46875</v>
      </c>
      <c r="D537" s="5">
        <f>C537-B537</f>
        <v>6.9444444444444198E-3</v>
      </c>
      <c r="E537" s="6" t="s">
        <v>27</v>
      </c>
      <c r="F537" s="7" t="s">
        <v>12</v>
      </c>
      <c r="G537" s="7" t="str">
        <f>IF(F537="P1","Normal activity",IF(F537="P2","Clustering / aggregation",IF(F537="P3","Agitation",IF(F537="P4","Lethargy",IF(F537="P5","Jumping / splashing",IF(F537="P6","Reactivity to noise"))))))</f>
        <v>Clustering / aggregation</v>
      </c>
      <c r="H537" s="7" t="str">
        <f>IF(F537="P1","Regular swimming, even distribution",IF(F537="P2","Fish grouped in one corner",IF(F537="P3","Rapid swimming, escape behavior",IF(F537="P4","Little movement",IF(F537="P5","Jumping out of the water",IF(F537="P6","Reaction to a tool or impact"))))))</f>
        <v>Fish grouped in one corner</v>
      </c>
      <c r="I537" s="6" t="s">
        <v>341</v>
      </c>
    </row>
    <row r="538" spans="1:9" x14ac:dyDescent="0.35">
      <c r="A538" s="13">
        <v>46179</v>
      </c>
      <c r="B538" s="10">
        <v>0.46180555555555558</v>
      </c>
      <c r="C538" s="10">
        <v>0.46875</v>
      </c>
      <c r="D538" s="5">
        <f>C538-B538</f>
        <v>6.9444444444444198E-3</v>
      </c>
      <c r="E538" s="6" t="s">
        <v>27</v>
      </c>
      <c r="F538" s="7" t="s">
        <v>9</v>
      </c>
      <c r="G538" s="7" t="str">
        <f>IF(F538="P1","Normal activity",IF(F538="P2","Clustering / aggregation",IF(F538="P3","Agitation",IF(F538="P4","Lethargy",IF(F538="P5","Jumping / splashing",IF(F538="P6","Reactivity to noise"))))))</f>
        <v>Normal activity</v>
      </c>
      <c r="H538" s="7" t="str">
        <f>IF(F538="P1","Regular swimming, even distribution",IF(F538="P2","Fish grouped in one corner",IF(F538="P3","Rapid swimming, escape behavior",IF(F538="P4","Little movement",IF(F538="P5","Jumping out of the water",IF(F538="P6","Reaction to a tool or impact"))))))</f>
        <v>Regular swimming, even distribution</v>
      </c>
      <c r="I538" s="6" t="s">
        <v>374</v>
      </c>
    </row>
    <row r="539" spans="1:9" x14ac:dyDescent="0.35">
      <c r="A539" s="13">
        <v>46179</v>
      </c>
      <c r="B539" s="10">
        <v>0.46180555555555558</v>
      </c>
      <c r="C539" s="10">
        <v>0.46875</v>
      </c>
      <c r="D539" s="5">
        <f>C539-B539</f>
        <v>6.9444444444444198E-3</v>
      </c>
      <c r="E539" s="6" t="s">
        <v>27</v>
      </c>
      <c r="F539" s="7" t="s">
        <v>15</v>
      </c>
      <c r="G539" s="7" t="str">
        <f>IF(F539="P1","Normal activity",IF(F539="P2","Clustering / aggregation",IF(F539="P3","Agitation",IF(F539="P4","Lethargy",IF(F539="P5","Jumping / splashing",IF(F539="P6","Reactivity to noise"))))))</f>
        <v>Agitation</v>
      </c>
      <c r="H539" s="7" t="str">
        <f>IF(F539="P1","Regular swimming, even distribution",IF(F539="P2","Fish grouped in one corner",IF(F539="P3","Rapid swimming, escape behavior",IF(F539="P4","Little movement",IF(F539="P5","Jumping out of the water",IF(F539="P6","Reaction to a tool or impact"))))))</f>
        <v>Rapid swimming, escape behavior</v>
      </c>
      <c r="I539" s="10" t="s">
        <v>375</v>
      </c>
    </row>
    <row r="540" spans="1:9" x14ac:dyDescent="0.35">
      <c r="A540" s="13">
        <v>46179</v>
      </c>
      <c r="B540" s="10">
        <v>0.46180555555555558</v>
      </c>
      <c r="C540" s="10">
        <v>0.46875</v>
      </c>
      <c r="D540" s="5">
        <f>C540-B540</f>
        <v>6.9444444444444198E-3</v>
      </c>
      <c r="E540" s="6" t="s">
        <v>28</v>
      </c>
      <c r="F540" s="7" t="s">
        <v>12</v>
      </c>
      <c r="G540" s="7" t="str">
        <f>IF(F540="P1","Normal activity",IF(F540="P2","Clustering / aggregation",IF(F540="P3","Agitation",IF(F540="P4","Lethargy",IF(F540="P5","Jumping / splashing",IF(F540="P6","Reactivity to noise"))))))</f>
        <v>Clustering / aggregation</v>
      </c>
      <c r="H540" s="7" t="str">
        <f>IF(F540="P1","Regular swimming, even distribution",IF(F540="P2","Fish grouped in one corner",IF(F540="P3","Rapid swimming, escape behavior",IF(F540="P4","Little movement",IF(F540="P5","Jumping out of the water",IF(F540="P6","Reaction to a tool or impact"))))))</f>
        <v>Fish grouped in one corner</v>
      </c>
      <c r="I540" s="6" t="s">
        <v>376</v>
      </c>
    </row>
    <row r="541" spans="1:9" x14ac:dyDescent="0.35">
      <c r="A541" s="13">
        <v>46179</v>
      </c>
      <c r="B541" s="10">
        <v>0.46180555555555558</v>
      </c>
      <c r="C541" s="10">
        <v>0.46875</v>
      </c>
      <c r="D541" s="5">
        <f>C541-B541</f>
        <v>6.9444444444444198E-3</v>
      </c>
      <c r="E541" s="6" t="s">
        <v>28</v>
      </c>
      <c r="F541" s="7" t="s">
        <v>9</v>
      </c>
      <c r="G541" s="7" t="str">
        <f>IF(F541="P1","Normal activity",IF(F541="P2","Clustering / aggregation",IF(F541="P3","Agitation",IF(F541="P4","Lethargy",IF(F541="P5","Jumping / splashing",IF(F541="P6","Reactivity to noise"))))))</f>
        <v>Normal activity</v>
      </c>
      <c r="H541" s="7" t="str">
        <f>IF(F541="P1","Regular swimming, even distribution",IF(F541="P2","Fish grouped in one corner",IF(F541="P3","Rapid swimming, escape behavior",IF(F541="P4","Little movement",IF(F541="P5","Jumping out of the water",IF(F541="P6","Reaction to a tool or impact"))))))</f>
        <v>Regular swimming, even distribution</v>
      </c>
      <c r="I541" s="6" t="s">
        <v>377</v>
      </c>
    </row>
    <row r="542" spans="1:9" x14ac:dyDescent="0.35">
      <c r="A542" s="13">
        <v>46179</v>
      </c>
      <c r="B542" s="10">
        <v>0.46180555555555558</v>
      </c>
      <c r="C542" s="10">
        <v>0.46875</v>
      </c>
      <c r="D542" s="5">
        <f>C542-B542</f>
        <v>6.9444444444444198E-3</v>
      </c>
      <c r="E542" s="6" t="s">
        <v>28</v>
      </c>
      <c r="F542" s="7" t="s">
        <v>15</v>
      </c>
      <c r="G542" s="7" t="str">
        <f>IF(F542="P1","Normal activity",IF(F542="P2","Clustering / aggregation",IF(F542="P3","Agitation",IF(F542="P4","Lethargy",IF(F542="P5","Jumping / splashing",IF(F542="P6","Reactivity to noise"))))))</f>
        <v>Agitation</v>
      </c>
      <c r="H542" s="7" t="str">
        <f>IF(F542="P1","Regular swimming, even distribution",IF(F542="P2","Fish grouped in one corner",IF(F542="P3","Rapid swimming, escape behavior",IF(F542="P4","Little movement",IF(F542="P5","Jumping out of the water",IF(F542="P6","Reaction to a tool or impact"))))))</f>
        <v>Rapid swimming, escape behavior</v>
      </c>
      <c r="I542" s="6" t="s">
        <v>378</v>
      </c>
    </row>
    <row r="543" spans="1:9" x14ac:dyDescent="0.35">
      <c r="A543" s="13">
        <v>46179</v>
      </c>
      <c r="B543" s="10">
        <v>0.46180555555555558</v>
      </c>
      <c r="C543" s="10">
        <v>0.46875</v>
      </c>
      <c r="D543" s="5">
        <f>C543-B543</f>
        <v>6.9444444444444198E-3</v>
      </c>
      <c r="E543" s="6" t="s">
        <v>29</v>
      </c>
      <c r="F543" s="7" t="s">
        <v>12</v>
      </c>
      <c r="G543" s="7" t="str">
        <f>IF(F543="P1","Normal activity",IF(F543="P2","Clustering / aggregation",IF(F543="P3","Agitation",IF(F543="P4","Lethargy",IF(F543="P5","Jumping / splashing",IF(F543="P6","Reactivity to noise"))))))</f>
        <v>Clustering / aggregation</v>
      </c>
      <c r="H543" s="7" t="str">
        <f>IF(F543="P1","Regular swimming, even distribution",IF(F543="P2","Fish grouped in one corner",IF(F543="P3","Rapid swimming, escape behavior",IF(F543="P4","Little movement",IF(F543="P5","Jumping out of the water",IF(F543="P6","Reaction to a tool or impact"))))))</f>
        <v>Fish grouped in one corner</v>
      </c>
      <c r="I543" s="6" t="s">
        <v>334</v>
      </c>
    </row>
    <row r="544" spans="1:9" x14ac:dyDescent="0.35">
      <c r="A544" s="13">
        <v>46179</v>
      </c>
      <c r="B544" s="10">
        <v>0.46180555555555558</v>
      </c>
      <c r="C544" s="10">
        <v>0.46875</v>
      </c>
      <c r="D544" s="5">
        <f>C544-B544</f>
        <v>6.9444444444444198E-3</v>
      </c>
      <c r="E544" s="6" t="s">
        <v>29</v>
      </c>
      <c r="F544" s="7" t="s">
        <v>9</v>
      </c>
      <c r="G544" s="7" t="str">
        <f>IF(F544="P1","Normal activity",IF(F544="P2","Clustering / aggregation",IF(F544="P3","Agitation",IF(F544="P4","Lethargy",IF(F544="P5","Jumping / splashing",IF(F544="P6","Reactivity to noise"))))))</f>
        <v>Normal activity</v>
      </c>
      <c r="H544" s="7" t="str">
        <f>IF(F544="P1","Regular swimming, even distribution",IF(F544="P2","Fish grouped in one corner",IF(F544="P3","Rapid swimming, escape behavior",IF(F544="P4","Little movement",IF(F544="P5","Jumping out of the water",IF(F544="P6","Reaction to a tool or impact"))))))</f>
        <v>Regular swimming, even distribution</v>
      </c>
      <c r="I544" s="6" t="s">
        <v>379</v>
      </c>
    </row>
    <row r="545" spans="1:9" x14ac:dyDescent="0.35">
      <c r="A545" s="13">
        <v>46179</v>
      </c>
      <c r="B545" s="10">
        <v>0.46180555555555558</v>
      </c>
      <c r="C545" s="10">
        <v>0.46875</v>
      </c>
      <c r="D545" s="5">
        <f>C545-B545</f>
        <v>6.9444444444444198E-3</v>
      </c>
      <c r="E545" s="6" t="s">
        <v>29</v>
      </c>
      <c r="F545" s="7" t="s">
        <v>15</v>
      </c>
      <c r="G545" s="7" t="str">
        <f>IF(F545="P1","Normal activity",IF(F545="P2","Clustering / aggregation",IF(F545="P3","Agitation",IF(F545="P4","Lethargy",IF(F545="P5","Jumping / splashing",IF(F545="P6","Reactivity to noise"))))))</f>
        <v>Agitation</v>
      </c>
      <c r="H545" s="7" t="str">
        <f>IF(F545="P1","Regular swimming, even distribution",IF(F545="P2","Fish grouped in one corner",IF(F545="P3","Rapid swimming, escape behavior",IF(F545="P4","Little movement",IF(F545="P5","Jumping out of the water",IF(F545="P6","Reaction to a tool or impact"))))))</f>
        <v>Rapid swimming, escape behavior</v>
      </c>
      <c r="I545" s="6" t="s">
        <v>380</v>
      </c>
    </row>
    <row r="546" spans="1:9" x14ac:dyDescent="0.35">
      <c r="A546" s="13">
        <v>46179</v>
      </c>
      <c r="B546" s="10">
        <v>0.46180555555555558</v>
      </c>
      <c r="C546" s="10">
        <v>0.46875</v>
      </c>
      <c r="D546" s="5">
        <f>C546-B546</f>
        <v>6.9444444444444198E-3</v>
      </c>
      <c r="E546" s="6" t="s">
        <v>31</v>
      </c>
      <c r="F546" s="7" t="s">
        <v>12</v>
      </c>
      <c r="G546" s="7" t="str">
        <f>IF(F546="P1","Normal activity",IF(F546="P2","Clustering / aggregation",IF(F546="P3","Agitation",IF(F546="P4","Lethargy",IF(F546="P5","Jumping / splashing",IF(F546="P6","Reactivity to noise"))))))</f>
        <v>Clustering / aggregation</v>
      </c>
      <c r="H546" s="7" t="str">
        <f>IF(F546="P1","Regular swimming, even distribution",IF(F546="P2","Fish grouped in one corner",IF(F546="P3","Rapid swimming, escape behavior",IF(F546="P4","Little movement",IF(F546="P5","Jumping out of the water",IF(F546="P6","Reaction to a tool or impact"))))))</f>
        <v>Fish grouped in one corner</v>
      </c>
      <c r="I546" s="6" t="s">
        <v>381</v>
      </c>
    </row>
    <row r="547" spans="1:9" x14ac:dyDescent="0.35">
      <c r="A547" s="13">
        <v>46179</v>
      </c>
      <c r="B547" s="10">
        <v>0.46180555555555558</v>
      </c>
      <c r="C547" s="10">
        <v>0.46875</v>
      </c>
      <c r="D547" s="5">
        <f>C547-B547</f>
        <v>6.9444444444444198E-3</v>
      </c>
      <c r="E547" s="6" t="s">
        <v>31</v>
      </c>
      <c r="F547" s="7" t="s">
        <v>9</v>
      </c>
      <c r="G547" s="7" t="str">
        <f>IF(F547="P1","Normal activity",IF(F547="P2","Clustering / aggregation",IF(F547="P3","Agitation",IF(F547="P4","Lethargy",IF(F547="P5","Jumping / splashing",IF(F547="P6","Reactivity to noise"))))))</f>
        <v>Normal activity</v>
      </c>
      <c r="H547" s="7" t="str">
        <f>IF(F547="P1","Regular swimming, even distribution",IF(F547="P2","Fish grouped in one corner",IF(F547="P3","Rapid swimming, escape behavior",IF(F547="P4","Little movement",IF(F547="P5","Jumping out of the water",IF(F547="P6","Reaction to a tool or impact"))))))</f>
        <v>Regular swimming, even distribution</v>
      </c>
      <c r="I547" s="6" t="s">
        <v>358</v>
      </c>
    </row>
    <row r="548" spans="1:9" x14ac:dyDescent="0.35">
      <c r="A548" s="13">
        <v>46179</v>
      </c>
      <c r="B548" s="10">
        <v>0.46180555555555558</v>
      </c>
      <c r="C548" s="10">
        <v>0.46875</v>
      </c>
      <c r="D548" s="5">
        <f>C548-B548</f>
        <v>6.9444444444444198E-3</v>
      </c>
      <c r="E548" s="6" t="s">
        <v>31</v>
      </c>
      <c r="F548" s="7" t="s">
        <v>18</v>
      </c>
      <c r="G548" s="7" t="str">
        <f>IF(F548="P1","Normal activity",IF(F548="P2","Clustering / aggregation",IF(F548="P3","Agitation",IF(F548="P4","Lethargy",IF(F548="P5","Jumping / splashing",IF(F548="P6","Reactivity to noise"))))))</f>
        <v>Lethargy</v>
      </c>
      <c r="H548" s="7" t="str">
        <f>IF(F548="P1","Regular swimming, even distribution",IF(F548="P2","Fish grouped in one corner",IF(F548="P3","Rapid swimming, escape behavior",IF(F548="P4","Little movement",IF(F548="P5","Jumping out of the water",IF(F548="P6","Reaction to a tool or impact"))))))</f>
        <v>Little movement</v>
      </c>
      <c r="I548" s="6" t="s">
        <v>382</v>
      </c>
    </row>
    <row r="549" spans="1:9" x14ac:dyDescent="0.35">
      <c r="A549" s="13">
        <v>46179</v>
      </c>
      <c r="B549" s="10">
        <v>0.51249999999999996</v>
      </c>
      <c r="C549" s="10">
        <v>0.51944444444444449</v>
      </c>
      <c r="D549" s="5">
        <f>C549-B549</f>
        <v>6.9444444444445308E-3</v>
      </c>
      <c r="E549" s="6" t="s">
        <v>27</v>
      </c>
      <c r="F549" s="7" t="s">
        <v>15</v>
      </c>
      <c r="G549" s="7" t="str">
        <f>IF(F549="P1","Normal activity",IF(F549="P2","Clustering / aggregation",IF(F549="P3","Agitation",IF(F549="P4","Lethargy",IF(F549="P5","Jumping / splashing",IF(F549="P6","Reactivity to noise"))))))</f>
        <v>Agitation</v>
      </c>
      <c r="H549" s="7" t="str">
        <f>IF(F549="P1","Regular swimming, even distribution",IF(F549="P2","Fish grouped in one corner",IF(F549="P3","Rapid swimming, escape behavior",IF(F549="P4","Little movement",IF(F549="P5","Jumping out of the water",IF(F549="P6","Reaction to a tool or impact"))))))</f>
        <v>Rapid swimming, escape behavior</v>
      </c>
      <c r="I549" s="6" t="s">
        <v>383</v>
      </c>
    </row>
    <row r="550" spans="1:9" x14ac:dyDescent="0.35">
      <c r="A550" s="13">
        <v>46179</v>
      </c>
      <c r="B550" s="10">
        <v>0.51249999999999996</v>
      </c>
      <c r="C550" s="10">
        <v>0.51944444444444449</v>
      </c>
      <c r="D550" s="5">
        <f>C550-B550</f>
        <v>6.9444444444445308E-3</v>
      </c>
      <c r="E550" s="6" t="s">
        <v>27</v>
      </c>
      <c r="F550" s="7" t="s">
        <v>9</v>
      </c>
      <c r="G550" s="7" t="str">
        <f>IF(F550="P1","Normal activity",IF(F550="P2","Clustering / aggregation",IF(F550="P3","Agitation",IF(F550="P4","Lethargy",IF(F550="P5","Jumping / splashing",IF(F550="P6","Reactivity to noise"))))))</f>
        <v>Normal activity</v>
      </c>
      <c r="H550" s="7" t="str">
        <f>IF(F550="P1","Regular swimming, even distribution",IF(F550="P2","Fish grouped in one corner",IF(F550="P3","Rapid swimming, escape behavior",IF(F550="P4","Little movement",IF(F550="P5","Jumping out of the water",IF(F550="P6","Reaction to a tool or impact"))))))</f>
        <v>Regular swimming, even distribution</v>
      </c>
      <c r="I550" s="6" t="s">
        <v>384</v>
      </c>
    </row>
    <row r="551" spans="1:9" x14ac:dyDescent="0.35">
      <c r="A551" s="13">
        <v>46179</v>
      </c>
      <c r="B551" s="10">
        <v>0.51249999999999996</v>
      </c>
      <c r="C551" s="10">
        <v>0.51944444444444449</v>
      </c>
      <c r="D551" s="5">
        <f>C551-B551</f>
        <v>6.9444444444445308E-3</v>
      </c>
      <c r="E551" s="6" t="s">
        <v>27</v>
      </c>
      <c r="F551" s="7" t="s">
        <v>15</v>
      </c>
      <c r="G551" s="7" t="str">
        <f>IF(F551="P1","Normal activity",IF(F551="P2","Clustering / aggregation",IF(F551="P3","Agitation",IF(F551="P4","Lethargy",IF(F551="P5","Jumping / splashing",IF(F551="P6","Reactivity to noise"))))))</f>
        <v>Agitation</v>
      </c>
      <c r="H551" s="7" t="str">
        <f>IF(F551="P1","Regular swimming, even distribution",IF(F551="P2","Fish grouped in one corner",IF(F551="P3","Rapid swimming, escape behavior",IF(F551="P4","Little movement",IF(F551="P5","Jumping out of the water",IF(F551="P6","Reaction to a tool or impact"))))))</f>
        <v>Rapid swimming, escape behavior</v>
      </c>
      <c r="I551" s="6" t="s">
        <v>385</v>
      </c>
    </row>
    <row r="552" spans="1:9" x14ac:dyDescent="0.35">
      <c r="A552" s="13">
        <v>46179</v>
      </c>
      <c r="B552" s="10">
        <v>0.51249999999999996</v>
      </c>
      <c r="C552" s="10">
        <v>0.51944444444444449</v>
      </c>
      <c r="D552" s="5">
        <f>C552-B552</f>
        <v>6.9444444444445308E-3</v>
      </c>
      <c r="E552" s="6" t="s">
        <v>28</v>
      </c>
      <c r="F552" s="7" t="s">
        <v>12</v>
      </c>
      <c r="G552" s="7" t="str">
        <f>IF(F552="P1","Normal activity",IF(F552="P2","Clustering / aggregation",IF(F552="P3","Agitation",IF(F552="P4","Lethargy",IF(F552="P5","Jumping / splashing",IF(F552="P6","Reactivity to noise"))))))</f>
        <v>Clustering / aggregation</v>
      </c>
      <c r="H552" s="7" t="str">
        <f>IF(F552="P1","Regular swimming, even distribution",IF(F552="P2","Fish grouped in one corner",IF(F552="P3","Rapid swimming, escape behavior",IF(F552="P4","Little movement",IF(F552="P5","Jumping out of the water",IF(F552="P6","Reaction to a tool or impact"))))))</f>
        <v>Fish grouped in one corner</v>
      </c>
      <c r="I552" s="6" t="s">
        <v>341</v>
      </c>
    </row>
    <row r="553" spans="1:9" x14ac:dyDescent="0.35">
      <c r="A553" s="13">
        <v>46179</v>
      </c>
      <c r="B553" s="10">
        <v>0.51249999999999996</v>
      </c>
      <c r="C553" s="10">
        <v>0.51944444444444449</v>
      </c>
      <c r="D553" s="5">
        <f>C553-B553</f>
        <v>6.9444444444445308E-3</v>
      </c>
      <c r="E553" s="6" t="s">
        <v>28</v>
      </c>
      <c r="F553" s="7" t="s">
        <v>9</v>
      </c>
      <c r="G553" s="7" t="str">
        <f>IF(F553="P1","Normal activity",IF(F553="P2","Clustering / aggregation",IF(F553="P3","Agitation",IF(F553="P4","Lethargy",IF(F553="P5","Jumping / splashing",IF(F553="P6","Reactivity to noise"))))))</f>
        <v>Normal activity</v>
      </c>
      <c r="H553" s="7" t="str">
        <f>IF(F553="P1","Regular swimming, even distribution",IF(F553="P2","Fish grouped in one corner",IF(F553="P3","Rapid swimming, escape behavior",IF(F553="P4","Little movement",IF(F553="P5","Jumping out of the water",IF(F553="P6","Reaction to a tool or impact"))))))</f>
        <v>Regular swimming, even distribution</v>
      </c>
      <c r="I553" s="6" t="s">
        <v>386</v>
      </c>
    </row>
    <row r="554" spans="1:9" x14ac:dyDescent="0.35">
      <c r="A554" s="13">
        <v>46179</v>
      </c>
      <c r="B554" s="10">
        <v>0.51249999999999996</v>
      </c>
      <c r="C554" s="10">
        <v>0.51944444444444449</v>
      </c>
      <c r="D554" s="5">
        <f>C554-B554</f>
        <v>6.9444444444445308E-3</v>
      </c>
      <c r="E554" s="6" t="s">
        <v>28</v>
      </c>
      <c r="F554" s="7" t="s">
        <v>15</v>
      </c>
      <c r="G554" s="7" t="str">
        <f>IF(F554="P1","Normal activity",IF(F554="P2","Clustering / aggregation",IF(F554="P3","Agitation",IF(F554="P4","Lethargy",IF(F554="P5","Jumping / splashing",IF(F554="P6","Reactivity to noise"))))))</f>
        <v>Agitation</v>
      </c>
      <c r="H554" s="7" t="str">
        <f>IF(F554="P1","Regular swimming, even distribution",IF(F554="P2","Fish grouped in one corner",IF(F554="P3","Rapid swimming, escape behavior",IF(F554="P4","Little movement",IF(F554="P5","Jumping out of the water",IF(F554="P6","Reaction to a tool or impact"))))))</f>
        <v>Rapid swimming, escape behavior</v>
      </c>
      <c r="I554" s="6" t="s">
        <v>387</v>
      </c>
    </row>
    <row r="555" spans="1:9" x14ac:dyDescent="0.35">
      <c r="A555" s="13">
        <v>46179</v>
      </c>
      <c r="B555" s="10">
        <v>0.51249999999999996</v>
      </c>
      <c r="C555" s="10">
        <v>0.51944444444444449</v>
      </c>
      <c r="D555" s="5">
        <f>C555-B555</f>
        <v>6.9444444444445308E-3</v>
      </c>
      <c r="E555" s="6" t="s">
        <v>29</v>
      </c>
      <c r="F555" s="7" t="s">
        <v>9</v>
      </c>
      <c r="G555" s="7" t="str">
        <f>IF(F555="P1","Normal activity",IF(F555="P2","Clustering / aggregation",IF(F555="P3","Agitation",IF(F555="P4","Lethargy",IF(F555="P5","Jumping / splashing",IF(F555="P6","Reactivity to noise"))))))</f>
        <v>Normal activity</v>
      </c>
      <c r="H555" s="7" t="str">
        <f>IF(F555="P1","Regular swimming, even distribution",IF(F555="P2","Fish grouped in one corner",IF(F555="P3","Rapid swimming, escape behavior",IF(F555="P4","Little movement",IF(F555="P5","Jumping out of the water",IF(F555="P6","Reaction to a tool or impact"))))))</f>
        <v>Regular swimming, even distribution</v>
      </c>
      <c r="I555" s="6" t="s">
        <v>388</v>
      </c>
    </row>
    <row r="556" spans="1:9" x14ac:dyDescent="0.35">
      <c r="A556" s="13">
        <v>46179</v>
      </c>
      <c r="B556" s="10">
        <v>0.51249999999999996</v>
      </c>
      <c r="C556" s="10">
        <v>0.51944444444444449</v>
      </c>
      <c r="D556" s="5">
        <f>C556-B556</f>
        <v>6.9444444444445308E-3</v>
      </c>
      <c r="E556" s="6" t="s">
        <v>29</v>
      </c>
      <c r="F556" s="7" t="s">
        <v>15</v>
      </c>
      <c r="G556" s="7" t="str">
        <f>IF(F556="P1","Normal activity",IF(F556="P2","Clustering / aggregation",IF(F556="P3","Agitation",IF(F556="P4","Lethargy",IF(F556="P5","Jumping / splashing",IF(F556="P6","Reactivity to noise"))))))</f>
        <v>Agitation</v>
      </c>
      <c r="H556" s="7" t="str">
        <f>IF(F556="P1","Regular swimming, even distribution",IF(F556="P2","Fish grouped in one corner",IF(F556="P3","Rapid swimming, escape behavior",IF(F556="P4","Little movement",IF(F556="P5","Jumping out of the water",IF(F556="P6","Reaction to a tool or impact"))))))</f>
        <v>Rapid swimming, escape behavior</v>
      </c>
      <c r="I556" s="6" t="s">
        <v>380</v>
      </c>
    </row>
    <row r="557" spans="1:9" x14ac:dyDescent="0.35">
      <c r="A557" s="13">
        <v>46179</v>
      </c>
      <c r="B557" s="10">
        <v>0.51249999999999996</v>
      </c>
      <c r="C557" s="10">
        <v>0.51944444444444449</v>
      </c>
      <c r="D557" s="5">
        <f>C557-B557</f>
        <v>6.9444444444445308E-3</v>
      </c>
      <c r="E557" s="6" t="s">
        <v>31</v>
      </c>
      <c r="F557" s="7" t="s">
        <v>12</v>
      </c>
      <c r="G557" s="7" t="str">
        <f>IF(F557="P1","Normal activity",IF(F557="P2","Clustering / aggregation",IF(F557="P3","Agitation",IF(F557="P4","Lethargy",IF(F557="P5","Jumping / splashing",IF(F557="P6","Reactivity to noise"))))))</f>
        <v>Clustering / aggregation</v>
      </c>
      <c r="H557" s="7" t="str">
        <f>IF(F557="P1","Regular swimming, even distribution",IF(F557="P2","Fish grouped in one corner",IF(F557="P3","Rapid swimming, escape behavior",IF(F557="P4","Little movement",IF(F557="P5","Jumping out of the water",IF(F557="P6","Reaction to a tool or impact"))))))</f>
        <v>Fish grouped in one corner</v>
      </c>
      <c r="I557" s="6" t="s">
        <v>389</v>
      </c>
    </row>
    <row r="558" spans="1:9" x14ac:dyDescent="0.35">
      <c r="A558" s="13">
        <v>46179</v>
      </c>
      <c r="B558" s="10">
        <v>0.51249999999999996</v>
      </c>
      <c r="C558" s="10">
        <v>0.51944444444444449</v>
      </c>
      <c r="D558" s="5">
        <f>C558-B558</f>
        <v>6.9444444444445308E-3</v>
      </c>
      <c r="E558" s="6" t="s">
        <v>31</v>
      </c>
      <c r="F558" s="7" t="s">
        <v>9</v>
      </c>
      <c r="G558" s="7" t="str">
        <f>IF(F558="P1","Normal activity",IF(F558="P2","Clustering / aggregation",IF(F558="P3","Agitation",IF(F558="P4","Lethargy",IF(F558="P5","Jumping / splashing",IF(F558="P6","Reactivity to noise"))))))</f>
        <v>Normal activity</v>
      </c>
      <c r="H558" s="7" t="str">
        <f>IF(F558="P1","Regular swimming, even distribution",IF(F558="P2","Fish grouped in one corner",IF(F558="P3","Rapid swimming, escape behavior",IF(F558="P4","Little movement",IF(F558="P5","Jumping out of the water",IF(F558="P6","Reaction to a tool or impact"))))))</f>
        <v>Regular swimming, even distribution</v>
      </c>
      <c r="I558" s="6" t="s">
        <v>390</v>
      </c>
    </row>
    <row r="559" spans="1:9" x14ac:dyDescent="0.35">
      <c r="A559" s="13">
        <v>46179</v>
      </c>
      <c r="B559" s="10">
        <v>0.51249999999999996</v>
      </c>
      <c r="C559" s="10">
        <v>0.51944444444444449</v>
      </c>
      <c r="D559" s="5">
        <f>C559-B559</f>
        <v>6.9444444444445308E-3</v>
      </c>
      <c r="E559" s="6" t="s">
        <v>31</v>
      </c>
      <c r="F559" s="7" t="s">
        <v>18</v>
      </c>
      <c r="G559" s="7" t="str">
        <f>IF(F559="P1","Normal activity",IF(F559="P2","Clustering / aggregation",IF(F559="P3","Agitation",IF(F559="P4","Lethargy",IF(F559="P5","Jumping / splashing",IF(F559="P6","Reactivity to noise"))))))</f>
        <v>Lethargy</v>
      </c>
      <c r="H559" s="7" t="str">
        <f>IF(F559="P1","Regular swimming, even distribution",IF(F559="P2","Fish grouped in one corner",IF(F559="P3","Rapid swimming, escape behavior",IF(F559="P4","Little movement",IF(F559="P5","Jumping out of the water",IF(F559="P6","Reaction to a tool or impact"))))))</f>
        <v>Little movement</v>
      </c>
      <c r="I559" s="6" t="s">
        <v>391</v>
      </c>
    </row>
    <row r="560" spans="1:9" x14ac:dyDescent="0.35">
      <c r="A560" s="13">
        <v>46179</v>
      </c>
      <c r="B560" s="10">
        <v>0.52083333333333337</v>
      </c>
      <c r="C560" s="10">
        <v>0.52430555555555558</v>
      </c>
      <c r="D560" s="5">
        <f>C560-B560</f>
        <v>3.4722222222222099E-3</v>
      </c>
      <c r="E560" s="6"/>
      <c r="F560" s="7"/>
      <c r="G560" s="7" t="b">
        <f>IF(F560="P1","Normal activity",IF(F560="P2","Clustering / aggregation",IF(F560="P3","Agitation",IF(F560="P4","Lethargy",IF(F560="P5","Jumping / splashing",IF(F560="P6","Reactivity to noise"))))))</f>
        <v>0</v>
      </c>
      <c r="H560" s="7" t="b">
        <f>IF(F560="P1","Regular swimming, even distribution",IF(F560="P2","Fish grouped in one corner",IF(F560="P3","Rapid swimming, escape behavior",IF(F560="P4","Little movement",IF(F560="P5","Jumping out of the water",IF(F560="P6","Reaction to a tool or impact"))))))</f>
        <v>0</v>
      </c>
      <c r="I560" s="6" t="s">
        <v>392</v>
      </c>
    </row>
    <row r="561" spans="1:9" x14ac:dyDescent="0.35">
      <c r="A561" s="13">
        <v>46179</v>
      </c>
      <c r="B561" s="10">
        <v>0.52500000000000002</v>
      </c>
      <c r="C561" s="10">
        <v>0.53194444444444444</v>
      </c>
      <c r="D561" s="5">
        <f>C561-B561</f>
        <v>6.9444444444444198E-3</v>
      </c>
      <c r="E561" s="6" t="s">
        <v>27</v>
      </c>
      <c r="F561" s="7" t="s">
        <v>15</v>
      </c>
      <c r="G561" s="7" t="str">
        <f>IF(F561="P1","Normal activity",IF(F561="P2","Clustering / aggregation",IF(F561="P3","Agitation",IF(F561="P4","Lethargy",IF(F561="P5","Jumping / splashing",IF(F561="P6","Reactivity to noise"))))))</f>
        <v>Agitation</v>
      </c>
      <c r="H561" s="7" t="str">
        <f>IF(F561="P1","Regular swimming, even distribution",IF(F561="P2","Fish grouped in one corner",IF(F561="P3","Rapid swimming, escape behavior",IF(F561="P4","Little movement",IF(F561="P5","Jumping out of the water",IF(F561="P6","Reaction to a tool or impact"))))))</f>
        <v>Rapid swimming, escape behavior</v>
      </c>
      <c r="I561" s="6" t="s">
        <v>393</v>
      </c>
    </row>
    <row r="562" spans="1:9" x14ac:dyDescent="0.35">
      <c r="A562" s="13">
        <v>46179</v>
      </c>
      <c r="B562" s="10">
        <v>0.52500000000000002</v>
      </c>
      <c r="C562" s="10">
        <v>0.53194444444444444</v>
      </c>
      <c r="D562" s="5">
        <f>C562-B562</f>
        <v>6.9444444444444198E-3</v>
      </c>
      <c r="E562" s="6" t="s">
        <v>27</v>
      </c>
      <c r="F562" s="7" t="s">
        <v>12</v>
      </c>
      <c r="G562" s="7" t="str">
        <f>IF(F562="P1","Normal activity",IF(F562="P2","Clustering / aggregation",IF(F562="P3","Agitation",IF(F562="P4","Lethargy",IF(F562="P5","Jumping / splashing",IF(F562="P6","Reactivity to noise"))))))</f>
        <v>Clustering / aggregation</v>
      </c>
      <c r="H562" s="7" t="str">
        <f>IF(F562="P1","Regular swimming, even distribution",IF(F562="P2","Fish grouped in one corner",IF(F562="P3","Rapid swimming, escape behavior",IF(F562="P4","Little movement",IF(F562="P5","Jumping out of the water",IF(F562="P6","Reaction to a tool or impact"))))))</f>
        <v>Fish grouped in one corner</v>
      </c>
      <c r="I562" s="6" t="s">
        <v>341</v>
      </c>
    </row>
    <row r="563" spans="1:9" x14ac:dyDescent="0.35">
      <c r="A563" s="13">
        <v>46179</v>
      </c>
      <c r="B563" s="10">
        <v>0.52500000000000002</v>
      </c>
      <c r="C563" s="10">
        <v>0.53194444444444444</v>
      </c>
      <c r="D563" s="5">
        <f>C563-B563</f>
        <v>6.9444444444444198E-3</v>
      </c>
      <c r="E563" s="6" t="s">
        <v>28</v>
      </c>
      <c r="F563" s="7" t="s">
        <v>12</v>
      </c>
      <c r="G563" s="7" t="str">
        <f>IF(F563="P1","Normal activity",IF(F563="P2","Clustering / aggregation",IF(F563="P3","Agitation",IF(F563="P4","Lethargy",IF(F563="P5","Jumping / splashing",IF(F563="P6","Reactivity to noise"))))))</f>
        <v>Clustering / aggregation</v>
      </c>
      <c r="H563" s="7" t="str">
        <f>IF(F563="P1","Regular swimming, even distribution",IF(F563="P2","Fish grouped in one corner",IF(F563="P3","Rapid swimming, escape behavior",IF(F563="P4","Little movement",IF(F563="P5","Jumping out of the water",IF(F563="P6","Reaction to a tool or impact"))))))</f>
        <v>Fish grouped in one corner</v>
      </c>
      <c r="I563" s="6" t="s">
        <v>334</v>
      </c>
    </row>
    <row r="564" spans="1:9" x14ac:dyDescent="0.35">
      <c r="A564" s="13">
        <v>46179</v>
      </c>
      <c r="B564" s="10">
        <v>0.52500000000000002</v>
      </c>
      <c r="C564" s="10">
        <v>0.53194444444444444</v>
      </c>
      <c r="D564" s="5">
        <f>C564-B564</f>
        <v>6.9444444444444198E-3</v>
      </c>
      <c r="E564" s="6" t="s">
        <v>28</v>
      </c>
      <c r="F564" s="7" t="s">
        <v>9</v>
      </c>
      <c r="G564" s="7" t="str">
        <f>IF(F564="P1","Normal activity",IF(F564="P2","Clustering / aggregation",IF(F564="P3","Agitation",IF(F564="P4","Lethargy",IF(F564="P5","Jumping / splashing",IF(F564="P6","Reactivity to noise"))))))</f>
        <v>Normal activity</v>
      </c>
      <c r="H564" s="7" t="str">
        <f>IF(F564="P1","Regular swimming, even distribution",IF(F564="P2","Fish grouped in one corner",IF(F564="P3","Rapid swimming, escape behavior",IF(F564="P4","Little movement",IF(F564="P5","Jumping out of the water",IF(F564="P6","Reaction to a tool or impact"))))))</f>
        <v>Regular swimming, even distribution</v>
      </c>
      <c r="I564" s="6" t="s">
        <v>365</v>
      </c>
    </row>
    <row r="565" spans="1:9" x14ac:dyDescent="0.35">
      <c r="A565" s="13">
        <v>46179</v>
      </c>
      <c r="B565" s="10">
        <v>0.52500000000000002</v>
      </c>
      <c r="C565" s="10">
        <v>0.53194444444444444</v>
      </c>
      <c r="D565" s="5">
        <f>C565-B565</f>
        <v>6.9444444444444198E-3</v>
      </c>
      <c r="E565" s="6" t="s">
        <v>28</v>
      </c>
      <c r="F565" s="7" t="s">
        <v>15</v>
      </c>
      <c r="G565" s="7" t="str">
        <f>IF(F565="P1","Normal activity",IF(F565="P2","Clustering / aggregation",IF(F565="P3","Agitation",IF(F565="P4","Lethargy",IF(F565="P5","Jumping / splashing",IF(F565="P6","Reactivity to noise"))))))</f>
        <v>Agitation</v>
      </c>
      <c r="H565" s="7" t="str">
        <f>IF(F565="P1","Regular swimming, even distribution",IF(F565="P2","Fish grouped in one corner",IF(F565="P3","Rapid swimming, escape behavior",IF(F565="P4","Little movement",IF(F565="P5","Jumping out of the water",IF(F565="P6","Reaction to a tool or impact"))))))</f>
        <v>Rapid swimming, escape behavior</v>
      </c>
      <c r="I565" s="6" t="s">
        <v>394</v>
      </c>
    </row>
    <row r="566" spans="1:9" x14ac:dyDescent="0.35">
      <c r="A566" s="13">
        <v>46179</v>
      </c>
      <c r="B566" s="10">
        <v>0.52500000000000002</v>
      </c>
      <c r="C566" s="10">
        <v>0.53194444444444444</v>
      </c>
      <c r="D566" s="5">
        <f>C566-B566</f>
        <v>6.9444444444444198E-3</v>
      </c>
      <c r="E566" s="6" t="s">
        <v>29</v>
      </c>
      <c r="F566" s="7" t="s">
        <v>9</v>
      </c>
      <c r="G566" s="7" t="str">
        <f>IF(F566="P1","Normal activity",IF(F566="P2","Clustering / aggregation",IF(F566="P3","Agitation",IF(F566="P4","Lethargy",IF(F566="P5","Jumping / splashing",IF(F566="P6","Reactivity to noise"))))))</f>
        <v>Normal activity</v>
      </c>
      <c r="H566" s="7" t="str">
        <f>IF(F566="P1","Regular swimming, even distribution",IF(F566="P2","Fish grouped in one corner",IF(F566="P3","Rapid swimming, escape behavior",IF(F566="P4","Little movement",IF(F566="P5","Jumping out of the water",IF(F566="P6","Reaction to a tool or impact"))))))</f>
        <v>Regular swimming, even distribution</v>
      </c>
      <c r="I566" s="6" t="s">
        <v>395</v>
      </c>
    </row>
    <row r="567" spans="1:9" x14ac:dyDescent="0.35">
      <c r="A567" s="13">
        <v>46179</v>
      </c>
      <c r="B567" s="10">
        <v>0.52500000000000002</v>
      </c>
      <c r="C567" s="10">
        <v>0.53194444444444444</v>
      </c>
      <c r="D567" s="5">
        <f>C567-B567</f>
        <v>6.9444444444444198E-3</v>
      </c>
      <c r="E567" s="6" t="s">
        <v>29</v>
      </c>
      <c r="F567" s="7" t="s">
        <v>15</v>
      </c>
      <c r="G567" s="7" t="str">
        <f>IF(F567="P1","Normal activity",IF(F567="P2","Clustering / aggregation",IF(F567="P3","Agitation",IF(F567="P4","Lethargy",IF(F567="P5","Jumping / splashing",IF(F567="P6","Reactivity to noise"))))))</f>
        <v>Agitation</v>
      </c>
      <c r="H567" s="7" t="str">
        <f>IF(F567="P1","Regular swimming, even distribution",IF(F567="P2","Fish grouped in one corner",IF(F567="P3","Rapid swimming, escape behavior",IF(F567="P4","Little movement",IF(F567="P5","Jumping out of the water",IF(F567="P6","Reaction to a tool or impact"))))))</f>
        <v>Rapid swimming, escape behavior</v>
      </c>
      <c r="I567" s="6" t="s">
        <v>396</v>
      </c>
    </row>
    <row r="568" spans="1:9" x14ac:dyDescent="0.35">
      <c r="A568" s="13">
        <v>46179</v>
      </c>
      <c r="B568" s="10">
        <v>0.52500000000000002</v>
      </c>
      <c r="C568" s="10">
        <v>0.53194444444444444</v>
      </c>
      <c r="D568" s="5">
        <f>C568-B568</f>
        <v>6.9444444444444198E-3</v>
      </c>
      <c r="E568" s="6" t="s">
        <v>31</v>
      </c>
      <c r="F568" s="7" t="s">
        <v>12</v>
      </c>
      <c r="G568" s="7" t="str">
        <f>IF(F568="P1","Normal activity",IF(F568="P2","Clustering / aggregation",IF(F568="P3","Agitation",IF(F568="P4","Lethargy",IF(F568="P5","Jumping / splashing",IF(F568="P6","Reactivity to noise"))))))</f>
        <v>Clustering / aggregation</v>
      </c>
      <c r="H568" s="7" t="str">
        <f>IF(F568="P1","Regular swimming, even distribution",IF(F568="P2","Fish grouped in one corner",IF(F568="P3","Rapid swimming, escape behavior",IF(F568="P4","Little movement",IF(F568="P5","Jumping out of the water",IF(F568="P6","Reaction to a tool or impact"))))))</f>
        <v>Fish grouped in one corner</v>
      </c>
      <c r="I568" s="6" t="s">
        <v>322</v>
      </c>
    </row>
    <row r="569" spans="1:9" x14ac:dyDescent="0.35">
      <c r="A569" s="13">
        <v>46179</v>
      </c>
      <c r="B569" s="10">
        <v>0.52500000000000002</v>
      </c>
      <c r="C569" s="10">
        <v>0.53194444444444444</v>
      </c>
      <c r="D569" s="5">
        <f>C569-B569</f>
        <v>6.9444444444444198E-3</v>
      </c>
      <c r="E569" s="6" t="s">
        <v>31</v>
      </c>
      <c r="F569" s="7" t="s">
        <v>9</v>
      </c>
      <c r="G569" s="7" t="str">
        <f>IF(F569="P1","Normal activity",IF(F569="P2","Clustering / aggregation",IF(F569="P3","Agitation",IF(F569="P4","Lethargy",IF(F569="P5","Jumping / splashing",IF(F569="P6","Reactivity to noise"))))))</f>
        <v>Normal activity</v>
      </c>
      <c r="H569" s="7" t="str">
        <f>IF(F569="P1","Regular swimming, even distribution",IF(F569="P2","Fish grouped in one corner",IF(F569="P3","Rapid swimming, escape behavior",IF(F569="P4","Little movement",IF(F569="P5","Jumping out of the water",IF(F569="P6","Reaction to a tool or impact"))))))</f>
        <v>Regular swimming, even distribution</v>
      </c>
      <c r="I569" s="6" t="s">
        <v>397</v>
      </c>
    </row>
    <row r="570" spans="1:9" x14ac:dyDescent="0.35">
      <c r="A570" s="13">
        <v>46179</v>
      </c>
      <c r="B570" s="10">
        <v>0.52500000000000002</v>
      </c>
      <c r="C570" s="10">
        <v>0.53194444444444444</v>
      </c>
      <c r="D570" s="5">
        <f>C570-B570</f>
        <v>6.9444444444444198E-3</v>
      </c>
      <c r="E570" s="6" t="s">
        <v>31</v>
      </c>
      <c r="F570" s="7" t="s">
        <v>18</v>
      </c>
      <c r="G570" s="7" t="str">
        <f>IF(F570="P1","Normal activity",IF(F570="P2","Clustering / aggregation",IF(F570="P3","Agitation",IF(F570="P4","Lethargy",IF(F570="P5","Jumping / splashing",IF(F570="P6","Reactivity to noise"))))))</f>
        <v>Lethargy</v>
      </c>
      <c r="H570" s="7" t="str">
        <f>IF(F570="P1","Regular swimming, even distribution",IF(F570="P2","Fish grouped in one corner",IF(F570="P3","Rapid swimming, escape behavior",IF(F570="P4","Little movement",IF(F570="P5","Jumping out of the water",IF(F570="P6","Reaction to a tool or impact"))))))</f>
        <v>Little movement</v>
      </c>
      <c r="I570" s="6" t="s">
        <v>398</v>
      </c>
    </row>
    <row r="571" spans="1:9" x14ac:dyDescent="0.35">
      <c r="A571" s="13">
        <v>46179</v>
      </c>
      <c r="B571" s="10">
        <v>0.58194444444444449</v>
      </c>
      <c r="C571" s="10">
        <v>0.58888888888888891</v>
      </c>
      <c r="D571" s="5">
        <f>C571-B571</f>
        <v>6.9444444444444198E-3</v>
      </c>
      <c r="E571" s="6" t="s">
        <v>27</v>
      </c>
      <c r="F571" s="7" t="s">
        <v>9</v>
      </c>
      <c r="G571" s="7" t="str">
        <f>IF(F571="P1","Normal activity",IF(F571="P2","Clustering / aggregation",IF(F571="P3","Agitation",IF(F571="P4","Lethargy",IF(F571="P5","Jumping / splashing",IF(F571="P6","Reactivity to noise"))))))</f>
        <v>Normal activity</v>
      </c>
      <c r="H571" s="7" t="str">
        <f>IF(F571="P1","Regular swimming, even distribution",IF(F571="P2","Fish grouped in one corner",IF(F571="P3","Rapid swimming, escape behavior",IF(F571="P4","Little movement",IF(F571="P5","Jumping out of the water",IF(F571="P6","Reaction to a tool or impact"))))))</f>
        <v>Regular swimming, even distribution</v>
      </c>
      <c r="I571" s="6" t="s">
        <v>297</v>
      </c>
    </row>
    <row r="572" spans="1:9" x14ac:dyDescent="0.35">
      <c r="A572" s="13">
        <v>46179</v>
      </c>
      <c r="B572" s="10">
        <v>0.58194444444444449</v>
      </c>
      <c r="C572" s="10">
        <v>0.58888888888888891</v>
      </c>
      <c r="D572" s="5">
        <f>C572-B572</f>
        <v>6.9444444444444198E-3</v>
      </c>
      <c r="E572" s="6" t="s">
        <v>27</v>
      </c>
      <c r="F572" s="7" t="s">
        <v>15</v>
      </c>
      <c r="G572" s="7" t="str">
        <f>IF(F572="P1","Normal activity",IF(F572="P2","Clustering / aggregation",IF(F572="P3","Agitation",IF(F572="P4","Lethargy",IF(F572="P5","Jumping / splashing",IF(F572="P6","Reactivity to noise"))))))</f>
        <v>Agitation</v>
      </c>
      <c r="H572" s="7" t="str">
        <f>IF(F572="P1","Regular swimming, even distribution",IF(F572="P2","Fish grouped in one corner",IF(F572="P3","Rapid swimming, escape behavior",IF(F572="P4","Little movement",IF(F572="P5","Jumping out of the water",IF(F572="P6","Reaction to a tool or impact"))))))</f>
        <v>Rapid swimming, escape behavior</v>
      </c>
      <c r="I572" s="6" t="s">
        <v>399</v>
      </c>
    </row>
    <row r="573" spans="1:9" x14ac:dyDescent="0.35">
      <c r="A573" s="13">
        <v>46179</v>
      </c>
      <c r="B573" s="10">
        <v>0.58194444444444449</v>
      </c>
      <c r="C573" s="10">
        <v>0.58888888888888891</v>
      </c>
      <c r="D573" s="5">
        <f>C573-B573</f>
        <v>6.9444444444444198E-3</v>
      </c>
      <c r="E573" s="6" t="s">
        <v>28</v>
      </c>
      <c r="F573" s="7" t="s">
        <v>12</v>
      </c>
      <c r="G573" s="7" t="str">
        <f>IF(F573="P1","Normal activity",IF(F573="P2","Clustering / aggregation",IF(F573="P3","Agitation",IF(F573="P4","Lethargy",IF(F573="P5","Jumping / splashing",IF(F573="P6","Reactivity to noise"))))))</f>
        <v>Clustering / aggregation</v>
      </c>
      <c r="H573" s="7" t="str">
        <f>IF(F573="P1","Regular swimming, even distribution",IF(F573="P2","Fish grouped in one corner",IF(F573="P3","Rapid swimming, escape behavior",IF(F573="P4","Little movement",IF(F573="P5","Jumping out of the water",IF(F573="P6","Reaction to a tool or impact"))))))</f>
        <v>Fish grouped in one corner</v>
      </c>
      <c r="I573" s="6" t="s">
        <v>400</v>
      </c>
    </row>
    <row r="574" spans="1:9" x14ac:dyDescent="0.35">
      <c r="A574" s="13">
        <v>46179</v>
      </c>
      <c r="B574" s="10">
        <v>0.58194444444444449</v>
      </c>
      <c r="C574" s="10">
        <v>0.58888888888888891</v>
      </c>
      <c r="D574" s="5">
        <f>C574-B574</f>
        <v>6.9444444444444198E-3</v>
      </c>
      <c r="E574" s="6" t="s">
        <v>28</v>
      </c>
      <c r="F574" s="7" t="s">
        <v>9</v>
      </c>
      <c r="G574" s="7" t="str">
        <f>IF(F574="P1","Normal activity",IF(F574="P2","Clustering / aggregation",IF(F574="P3","Agitation",IF(F574="P4","Lethargy",IF(F574="P5","Jumping / splashing",IF(F574="P6","Reactivity to noise"))))))</f>
        <v>Normal activity</v>
      </c>
      <c r="H574" s="7" t="str">
        <f>IF(F574="P1","Regular swimming, even distribution",IF(F574="P2","Fish grouped in one corner",IF(F574="P3","Rapid swimming, escape behavior",IF(F574="P4","Little movement",IF(F574="P5","Jumping out of the water",IF(F574="P6","Reaction to a tool or impact"))))))</f>
        <v>Regular swimming, even distribution</v>
      </c>
      <c r="I574" s="6" t="s">
        <v>401</v>
      </c>
    </row>
    <row r="575" spans="1:9" x14ac:dyDescent="0.35">
      <c r="A575" s="13">
        <v>46179</v>
      </c>
      <c r="B575" s="10">
        <v>0.58194444444444449</v>
      </c>
      <c r="C575" s="10">
        <v>0.58888888888888891</v>
      </c>
      <c r="D575" s="5">
        <f>C575-B575</f>
        <v>6.9444444444444198E-3</v>
      </c>
      <c r="E575" s="6" t="s">
        <v>29</v>
      </c>
      <c r="F575" s="7" t="s">
        <v>9</v>
      </c>
      <c r="G575" s="7" t="str">
        <f>IF(F575="P1","Normal activity",IF(F575="P2","Clustering / aggregation",IF(F575="P3","Agitation",IF(F575="P4","Lethargy",IF(F575="P5","Jumping / splashing",IF(F575="P6","Reactivity to noise"))))))</f>
        <v>Normal activity</v>
      </c>
      <c r="H575" s="7" t="str">
        <f>IF(F575="P1","Regular swimming, even distribution",IF(F575="P2","Fish grouped in one corner",IF(F575="P3","Rapid swimming, escape behavior",IF(F575="P4","Little movement",IF(F575="P5","Jumping out of the water",IF(F575="P6","Reaction to a tool or impact"))))))</f>
        <v>Regular swimming, even distribution</v>
      </c>
      <c r="I575" s="6" t="s">
        <v>320</v>
      </c>
    </row>
    <row r="576" spans="1:9" x14ac:dyDescent="0.35">
      <c r="A576" s="13">
        <v>46179</v>
      </c>
      <c r="B576" s="10">
        <v>0.58194444444444449</v>
      </c>
      <c r="C576" s="10">
        <v>0.58888888888888891</v>
      </c>
      <c r="D576" s="5">
        <f>C576-B576</f>
        <v>6.9444444444444198E-3</v>
      </c>
      <c r="E576" s="6" t="s">
        <v>29</v>
      </c>
      <c r="F576" s="7" t="s">
        <v>15</v>
      </c>
      <c r="G576" s="7" t="str">
        <f>IF(F576="P1","Normal activity",IF(F576="P2","Clustering / aggregation",IF(F576="P3","Agitation",IF(F576="P4","Lethargy",IF(F576="P5","Jumping / splashing",IF(F576="P6","Reactivity to noise"))))))</f>
        <v>Agitation</v>
      </c>
      <c r="H576" s="7" t="str">
        <f>IF(F576="P1","Regular swimming, even distribution",IF(F576="P2","Fish grouped in one corner",IF(F576="P3","Rapid swimming, escape behavior",IF(F576="P4","Little movement",IF(F576="P5","Jumping out of the water",IF(F576="P6","Reaction to a tool or impact"))))))</f>
        <v>Rapid swimming, escape behavior</v>
      </c>
      <c r="I576" s="6" t="s">
        <v>402</v>
      </c>
    </row>
    <row r="577" spans="1:9" x14ac:dyDescent="0.35">
      <c r="A577" s="13">
        <v>46179</v>
      </c>
      <c r="B577" s="10">
        <v>0.58194444444444449</v>
      </c>
      <c r="C577" s="10">
        <v>0.58888888888888891</v>
      </c>
      <c r="D577" s="5">
        <f>C577-B577</f>
        <v>6.9444444444444198E-3</v>
      </c>
      <c r="E577" s="6" t="s">
        <v>31</v>
      </c>
      <c r="F577" s="7" t="s">
        <v>12</v>
      </c>
      <c r="G577" s="7" t="str">
        <f>IF(F577="P1","Normal activity",IF(F577="P2","Clustering / aggregation",IF(F577="P3","Agitation",IF(F577="P4","Lethargy",IF(F577="P5","Jumping / splashing",IF(F577="P6","Reactivity to noise"))))))</f>
        <v>Clustering / aggregation</v>
      </c>
      <c r="H577" s="7" t="str">
        <f>IF(F577="P1","Regular swimming, even distribution",IF(F577="P2","Fish grouped in one corner",IF(F577="P3","Rapid swimming, escape behavior",IF(F577="P4","Little movement",IF(F577="P5","Jumping out of the water",IF(F577="P6","Reaction to a tool or impact"))))))</f>
        <v>Fish grouped in one corner</v>
      </c>
      <c r="I577" s="6" t="s">
        <v>403</v>
      </c>
    </row>
    <row r="578" spans="1:9" x14ac:dyDescent="0.35">
      <c r="A578" s="13">
        <v>46179</v>
      </c>
      <c r="B578" s="10">
        <v>0.58194444444444449</v>
      </c>
      <c r="C578" s="10">
        <v>0.58888888888888891</v>
      </c>
      <c r="D578" s="5">
        <f>C578-B578</f>
        <v>6.9444444444444198E-3</v>
      </c>
      <c r="E578" s="6" t="s">
        <v>31</v>
      </c>
      <c r="F578" s="7" t="s">
        <v>15</v>
      </c>
      <c r="G578" s="7" t="str">
        <f>IF(F578="P1","Normal activity",IF(F578="P2","Clustering / aggregation",IF(F578="P3","Agitation",IF(F578="P4","Lethargy",IF(F578="P5","Jumping / splashing",IF(F578="P6","Reactivity to noise"))))))</f>
        <v>Agitation</v>
      </c>
      <c r="H578" s="7" t="str">
        <f>IF(F578="P1","Regular swimming, even distribution",IF(F578="P2","Fish grouped in one corner",IF(F578="P3","Rapid swimming, escape behavior",IF(F578="P4","Little movement",IF(F578="P5","Jumping out of the water",IF(F578="P6","Reaction to a tool or impact"))))))</f>
        <v>Rapid swimming, escape behavior</v>
      </c>
      <c r="I578" s="6" t="s">
        <v>404</v>
      </c>
    </row>
    <row r="579" spans="1:9" x14ac:dyDescent="0.35">
      <c r="A579" s="13">
        <v>46179</v>
      </c>
      <c r="B579" s="10">
        <v>0.58958333333333335</v>
      </c>
      <c r="C579" s="10">
        <v>0.59305555555555556</v>
      </c>
      <c r="D579" s="5">
        <f>C579-B579</f>
        <v>3.4722222222222099E-3</v>
      </c>
      <c r="E579" s="6"/>
      <c r="F579" s="7"/>
      <c r="G579" s="7" t="b">
        <f>IF(F579="P1","Normal activity",IF(F579="P2","Clustering / aggregation",IF(F579="P3","Agitation",IF(F579="P4","Lethargy",IF(F579="P5","Jumping / splashing",IF(F579="P6","Reactivity to noise"))))))</f>
        <v>0</v>
      </c>
      <c r="H579" s="7" t="b">
        <f>IF(F579="P1","Regular swimming, even distribution",IF(F579="P2","Fish grouped in one corner",IF(F579="P3","Rapid swimming, escape behavior",IF(F579="P4","Little movement",IF(F579="P5","Jumping out of the water",IF(F579="P6","Reaction to a tool or impact"))))))</f>
        <v>0</v>
      </c>
      <c r="I579" s="6" t="s">
        <v>355</v>
      </c>
    </row>
    <row r="580" spans="1:9" x14ac:dyDescent="0.35">
      <c r="A580" s="13">
        <v>46179</v>
      </c>
      <c r="B580" s="10">
        <v>0.59375</v>
      </c>
      <c r="C580" s="10">
        <v>0.60069444444444442</v>
      </c>
      <c r="D580" s="5">
        <f>C580-B580</f>
        <v>6.9444444444444198E-3</v>
      </c>
      <c r="E580" s="6" t="s">
        <v>27</v>
      </c>
      <c r="F580" s="7" t="s">
        <v>9</v>
      </c>
      <c r="G580" s="7" t="str">
        <f>IF(F580="P1","Normal activity",IF(F580="P2","Clustering / aggregation",IF(F580="P3","Agitation",IF(F580="P4","Lethargy",IF(F580="P5","Jumping / splashing",IF(F580="P6","Reactivity to noise"))))))</f>
        <v>Normal activity</v>
      </c>
      <c r="H580" s="7" t="str">
        <f>IF(F580="P1","Regular swimming, even distribution",IF(F580="P2","Fish grouped in one corner",IF(F580="P3","Rapid swimming, escape behavior",IF(F580="P4","Little movement",IF(F580="P5","Jumping out of the water",IF(F580="P6","Reaction to a tool or impact"))))))</f>
        <v>Regular swimming, even distribution</v>
      </c>
      <c r="I580" s="6" t="s">
        <v>297</v>
      </c>
    </row>
    <row r="581" spans="1:9" x14ac:dyDescent="0.35">
      <c r="A581" s="13">
        <v>46179</v>
      </c>
      <c r="B581" s="10">
        <v>0.59375</v>
      </c>
      <c r="C581" s="10">
        <v>0.60069444444444442</v>
      </c>
      <c r="D581" s="5">
        <f>C581-B581</f>
        <v>6.9444444444444198E-3</v>
      </c>
      <c r="E581" s="6" t="s">
        <v>27</v>
      </c>
      <c r="F581" s="7" t="s">
        <v>15</v>
      </c>
      <c r="G581" s="7" t="str">
        <f>IF(F581="P1","Normal activity",IF(F581="P2","Clustering / aggregation",IF(F581="P3","Agitation",IF(F581="P4","Lethargy",IF(F581="P5","Jumping / splashing",IF(F581="P6","Reactivity to noise"))))))</f>
        <v>Agitation</v>
      </c>
      <c r="H581" s="7" t="str">
        <f>IF(F581="P1","Regular swimming, even distribution",IF(F581="P2","Fish grouped in one corner",IF(F581="P3","Rapid swimming, escape behavior",IF(F581="P4","Little movement",IF(F581="P5","Jumping out of the water",IF(F581="P6","Reaction to a tool or impact"))))))</f>
        <v>Rapid swimming, escape behavior</v>
      </c>
      <c r="I581" s="6" t="s">
        <v>405</v>
      </c>
    </row>
    <row r="582" spans="1:9" x14ac:dyDescent="0.35">
      <c r="A582" s="13">
        <v>46179</v>
      </c>
      <c r="B582" s="10">
        <v>0.59375</v>
      </c>
      <c r="C582" s="10">
        <v>0.60069444444444442</v>
      </c>
      <c r="D582" s="5">
        <f>C582-B582</f>
        <v>6.9444444444444198E-3</v>
      </c>
      <c r="E582" s="6" t="s">
        <v>27</v>
      </c>
      <c r="F582" s="7" t="s">
        <v>21</v>
      </c>
      <c r="G582" s="7" t="str">
        <f>IF(F582="P1","Normal activity",IF(F582="P2","Clustering / aggregation",IF(F582="P3","Agitation",IF(F582="P4","Lethargy",IF(F582="P5","Jumping / splashing",IF(F582="P6","Reactivity to noise"))))))</f>
        <v>Jumping / splashing</v>
      </c>
      <c r="H582" s="7" t="str">
        <f>IF(F582="P1","Regular swimming, even distribution",IF(F582="P2","Fish grouped in one corner",IF(F582="P3","Rapid swimming, escape behavior",IF(F582="P4","Little movement",IF(F582="P5","Jumping out of the water",IF(F582="P6","Reaction to a tool or impact"))))))</f>
        <v>Jumping out of the water</v>
      </c>
      <c r="I582" s="6" t="s">
        <v>406</v>
      </c>
    </row>
    <row r="583" spans="1:9" x14ac:dyDescent="0.35">
      <c r="A583" s="13">
        <v>46179</v>
      </c>
      <c r="B583" s="10">
        <v>0.59375</v>
      </c>
      <c r="C583" s="10">
        <v>0.60069444444444442</v>
      </c>
      <c r="D583" s="5">
        <f>C583-B583</f>
        <v>6.9444444444444198E-3</v>
      </c>
      <c r="E583" s="6" t="s">
        <v>27</v>
      </c>
      <c r="F583" s="7" t="s">
        <v>15</v>
      </c>
      <c r="G583" s="7" t="str">
        <f>IF(F583="P1","Normal activity",IF(F583="P2","Clustering / aggregation",IF(F583="P3","Agitation",IF(F583="P4","Lethargy",IF(F583="P5","Jumping / splashing",IF(F583="P6","Reactivity to noise"))))))</f>
        <v>Agitation</v>
      </c>
      <c r="H583" s="7" t="str">
        <f>IF(F583="P1","Regular swimming, even distribution",IF(F583="P2","Fish grouped in one corner",IF(F583="P3","Rapid swimming, escape behavior",IF(F583="P4","Little movement",IF(F583="P5","Jumping out of the water",IF(F583="P6","Reaction to a tool or impact"))))))</f>
        <v>Rapid swimming, escape behavior</v>
      </c>
      <c r="I583" s="6" t="s">
        <v>407</v>
      </c>
    </row>
    <row r="584" spans="1:9" x14ac:dyDescent="0.35">
      <c r="A584" s="13">
        <v>46179</v>
      </c>
      <c r="B584" s="10">
        <v>0.59375</v>
      </c>
      <c r="C584" s="10">
        <v>0.60069444444444442</v>
      </c>
      <c r="D584" s="5">
        <f>C584-B584</f>
        <v>6.9444444444444198E-3</v>
      </c>
      <c r="E584" s="6" t="s">
        <v>28</v>
      </c>
      <c r="F584" s="7" t="s">
        <v>12</v>
      </c>
      <c r="G584" s="7" t="str">
        <f>IF(F584="P1","Normal activity",IF(F584="P2","Clustering / aggregation",IF(F584="P3","Agitation",IF(F584="P4","Lethargy",IF(F584="P5","Jumping / splashing",IF(F584="P6","Reactivity to noise"))))))</f>
        <v>Clustering / aggregation</v>
      </c>
      <c r="H584" s="7" t="str">
        <f>IF(F584="P1","Regular swimming, even distribution",IF(F584="P2","Fish grouped in one corner",IF(F584="P3","Rapid swimming, escape behavior",IF(F584="P4","Little movement",IF(F584="P5","Jumping out of the water",IF(F584="P6","Reaction to a tool or impact"))))))</f>
        <v>Fish grouped in one corner</v>
      </c>
      <c r="I584" s="6" t="s">
        <v>408</v>
      </c>
    </row>
    <row r="585" spans="1:9" x14ac:dyDescent="0.35">
      <c r="A585" s="13">
        <v>46179</v>
      </c>
      <c r="B585" s="10">
        <v>0.59375</v>
      </c>
      <c r="C585" s="10">
        <v>0.60069444444444442</v>
      </c>
      <c r="D585" s="5">
        <f>C585-B585</f>
        <v>6.9444444444444198E-3</v>
      </c>
      <c r="E585" s="6" t="s">
        <v>28</v>
      </c>
      <c r="F585" s="7" t="s">
        <v>9</v>
      </c>
      <c r="G585" s="7" t="str">
        <f>IF(F585="P1","Normal activity",IF(F585="P2","Clustering / aggregation",IF(F585="P3","Agitation",IF(F585="P4","Lethargy",IF(F585="P5","Jumping / splashing",IF(F585="P6","Reactivity to noise"))))))</f>
        <v>Normal activity</v>
      </c>
      <c r="H585" s="7" t="str">
        <f>IF(F585="P1","Regular swimming, even distribution",IF(F585="P2","Fish grouped in one corner",IF(F585="P3","Rapid swimming, escape behavior",IF(F585="P4","Little movement",IF(F585="P5","Jumping out of the water",IF(F585="P6","Reaction to a tool or impact"))))))</f>
        <v>Regular swimming, even distribution</v>
      </c>
      <c r="I585" s="6" t="s">
        <v>409</v>
      </c>
    </row>
    <row r="586" spans="1:9" x14ac:dyDescent="0.35">
      <c r="A586" s="13">
        <v>46179</v>
      </c>
      <c r="B586" s="10">
        <v>0.59375</v>
      </c>
      <c r="C586" s="10">
        <v>0.60069444444444442</v>
      </c>
      <c r="D586" s="5">
        <f>C586-B586</f>
        <v>6.9444444444444198E-3</v>
      </c>
      <c r="E586" s="6" t="s">
        <v>28</v>
      </c>
      <c r="F586" s="7" t="s">
        <v>15</v>
      </c>
      <c r="G586" s="7" t="str">
        <f>IF(F586="P1","Normal activity",IF(F586="P2","Clustering / aggregation",IF(F586="P3","Agitation",IF(F586="P4","Lethargy",IF(F586="P5","Jumping / splashing",IF(F586="P6","Reactivity to noise"))))))</f>
        <v>Agitation</v>
      </c>
      <c r="H586" s="7" t="str">
        <f>IF(F586="P1","Regular swimming, even distribution",IF(F586="P2","Fish grouped in one corner",IF(F586="P3","Rapid swimming, escape behavior",IF(F586="P4","Little movement",IF(F586="P5","Jumping out of the water",IF(F586="P6","Reaction to a tool or impact"))))))</f>
        <v>Rapid swimming, escape behavior</v>
      </c>
      <c r="I586" s="6" t="s">
        <v>410</v>
      </c>
    </row>
    <row r="587" spans="1:9" x14ac:dyDescent="0.35">
      <c r="A587" s="13">
        <v>46179</v>
      </c>
      <c r="B587" s="10">
        <v>0.59375</v>
      </c>
      <c r="C587" s="10">
        <v>0.60069444444444442</v>
      </c>
      <c r="D587" s="5">
        <f>C587-B587</f>
        <v>6.9444444444444198E-3</v>
      </c>
      <c r="E587" s="6" t="s">
        <v>28</v>
      </c>
      <c r="F587" s="7" t="s">
        <v>15</v>
      </c>
      <c r="G587" s="7" t="str">
        <f>IF(F587="P1","Normal activity",IF(F587="P2","Clustering / aggregation",IF(F587="P3","Agitation",IF(F587="P4","Lethargy",IF(F587="P5","Jumping / splashing",IF(F587="P6","Reactivity to noise"))))))</f>
        <v>Agitation</v>
      </c>
      <c r="H587" s="7" t="str">
        <f>IF(F587="P1","Regular swimming, even distribution",IF(F587="P2","Fish grouped in one corner",IF(F587="P3","Rapid swimming, escape behavior",IF(F587="P4","Little movement",IF(F587="P5","Jumping out of the water",IF(F587="P6","Reaction to a tool or impact"))))))</f>
        <v>Rapid swimming, escape behavior</v>
      </c>
      <c r="I587" s="6" t="s">
        <v>411</v>
      </c>
    </row>
    <row r="588" spans="1:9" x14ac:dyDescent="0.35">
      <c r="A588" s="13">
        <v>46179</v>
      </c>
      <c r="B588" s="10">
        <v>0.59375</v>
      </c>
      <c r="C588" s="10">
        <v>0.60069444444444442</v>
      </c>
      <c r="D588" s="5">
        <f>C588-B588</f>
        <v>6.9444444444444198E-3</v>
      </c>
      <c r="E588" s="6" t="s">
        <v>29</v>
      </c>
      <c r="F588" s="7" t="s">
        <v>9</v>
      </c>
      <c r="G588" s="7" t="str">
        <f>IF(F588="P1","Normal activity",IF(F588="P2","Clustering / aggregation",IF(F588="P3","Agitation",IF(F588="P4","Lethargy",IF(F588="P5","Jumping / splashing",IF(F588="P6","Reactivity to noise"))))))</f>
        <v>Normal activity</v>
      </c>
      <c r="H588" s="7" t="str">
        <f>IF(F588="P1","Regular swimming, even distribution",IF(F588="P2","Fish grouped in one corner",IF(F588="P3","Rapid swimming, escape behavior",IF(F588="P4","Little movement",IF(F588="P5","Jumping out of the water",IF(F588="P6","Reaction to a tool or impact"))))))</f>
        <v>Regular swimming, even distribution</v>
      </c>
      <c r="I588" s="6" t="s">
        <v>297</v>
      </c>
    </row>
    <row r="589" spans="1:9" x14ac:dyDescent="0.35">
      <c r="A589" s="13">
        <v>46179</v>
      </c>
      <c r="B589" s="10">
        <v>0.59375</v>
      </c>
      <c r="C589" s="10">
        <v>0.60069444444444442</v>
      </c>
      <c r="D589" s="5">
        <f>C589-B589</f>
        <v>6.9444444444444198E-3</v>
      </c>
      <c r="E589" s="6" t="s">
        <v>412</v>
      </c>
      <c r="F589" s="7" t="s">
        <v>15</v>
      </c>
      <c r="G589" s="7" t="str">
        <f>IF(F589="P1","Normal activity",IF(F589="P2","Clustering / aggregation",IF(F589="P3","Agitation",IF(F589="P4","Lethargy",IF(F589="P5","Jumping / splashing",IF(F589="P6","Reactivity to noise"))))))</f>
        <v>Agitation</v>
      </c>
      <c r="H589" s="7" t="str">
        <f>IF(F589="P1","Regular swimming, even distribution",IF(F589="P2","Fish grouped in one corner",IF(F589="P3","Rapid swimming, escape behavior",IF(F589="P4","Little movement",IF(F589="P5","Jumping out of the water",IF(F589="P6","Reaction to a tool or impact"))))))</f>
        <v>Rapid swimming, escape behavior</v>
      </c>
      <c r="I589" s="6" t="s">
        <v>413</v>
      </c>
    </row>
    <row r="590" spans="1:9" x14ac:dyDescent="0.35">
      <c r="A590" s="13">
        <v>46179</v>
      </c>
      <c r="B590" s="10">
        <v>0.59375</v>
      </c>
      <c r="C590" s="10">
        <v>0.60069444444444442</v>
      </c>
      <c r="D590" s="5">
        <f>C590-B590</f>
        <v>6.9444444444444198E-3</v>
      </c>
      <c r="E590" s="6" t="s">
        <v>29</v>
      </c>
      <c r="F590" s="7" t="s">
        <v>15</v>
      </c>
      <c r="G590" s="7" t="str">
        <f>IF(F590="P1","Normal activity",IF(F590="P2","Clustering / aggregation",IF(F590="P3","Agitation",IF(F590="P4","Lethargy",IF(F590="P5","Jumping / splashing",IF(F590="P6","Reactivity to noise"))))))</f>
        <v>Agitation</v>
      </c>
      <c r="H590" s="7" t="str">
        <f>IF(F590="P1","Regular swimming, even distribution",IF(F590="P2","Fish grouped in one corner",IF(F590="P3","Rapid swimming, escape behavior",IF(F590="P4","Little movement",IF(F590="P5","Jumping out of the water",IF(F590="P6","Reaction to a tool or impact"))))))</f>
        <v>Rapid swimming, escape behavior</v>
      </c>
      <c r="I590" s="6" t="s">
        <v>414</v>
      </c>
    </row>
    <row r="591" spans="1:9" x14ac:dyDescent="0.35">
      <c r="A591" s="13">
        <v>46179</v>
      </c>
      <c r="B591" s="10">
        <v>0.59375</v>
      </c>
      <c r="C591" s="10">
        <v>0.60069444444444442</v>
      </c>
      <c r="D591" s="5">
        <f>C591-B591</f>
        <v>6.9444444444444198E-3</v>
      </c>
      <c r="E591" s="6" t="s">
        <v>31</v>
      </c>
      <c r="F591" s="7" t="s">
        <v>12</v>
      </c>
      <c r="G591" s="7" t="str">
        <f>IF(F591="P1","Normal activity",IF(F591="P2","Clustering / aggregation",IF(F591="P3","Agitation",IF(F591="P4","Lethargy",IF(F591="P5","Jumping / splashing",IF(F591="P6","Reactivity to noise"))))))</f>
        <v>Clustering / aggregation</v>
      </c>
      <c r="H591" s="7" t="str">
        <f>IF(F591="P1","Regular swimming, even distribution",IF(F591="P2","Fish grouped in one corner",IF(F591="P3","Rapid swimming, escape behavior",IF(F591="P4","Little movement",IF(F591="P5","Jumping out of the water",IF(F591="P6","Reaction to a tool or impact"))))))</f>
        <v>Fish grouped in one corner</v>
      </c>
      <c r="I591" s="6" t="s">
        <v>415</v>
      </c>
    </row>
    <row r="592" spans="1:9" x14ac:dyDescent="0.35">
      <c r="A592" s="13">
        <v>46179</v>
      </c>
      <c r="B592" s="10">
        <v>0.59375</v>
      </c>
      <c r="C592" s="10">
        <v>0.60069444444444442</v>
      </c>
      <c r="D592" s="5">
        <f>C592-B592</f>
        <v>6.9444444444444198E-3</v>
      </c>
      <c r="E592" s="6" t="s">
        <v>31</v>
      </c>
      <c r="F592" s="7" t="s">
        <v>9</v>
      </c>
      <c r="G592" s="7" t="str">
        <f>IF(F592="P1","Normal activity",IF(F592="P2","Clustering / aggregation",IF(F592="P3","Agitation",IF(F592="P4","Lethargy",IF(F592="P5","Jumping / splashing",IF(F592="P6","Reactivity to noise"))))))</f>
        <v>Normal activity</v>
      </c>
      <c r="H592" s="7" t="str">
        <f>IF(F592="P1","Regular swimming, even distribution",IF(F592="P2","Fish grouped in one corner",IF(F592="P3","Rapid swimming, escape behavior",IF(F592="P4","Little movement",IF(F592="P5","Jumping out of the water",IF(F592="P6","Reaction to a tool or impact"))))))</f>
        <v>Regular swimming, even distribution</v>
      </c>
      <c r="I592" s="6" t="s">
        <v>416</v>
      </c>
    </row>
    <row r="593" spans="1:9" x14ac:dyDescent="0.35">
      <c r="A593" s="13">
        <v>46179</v>
      </c>
      <c r="B593" s="10">
        <v>0.59375</v>
      </c>
      <c r="C593" s="10">
        <v>0.60069444444444442</v>
      </c>
      <c r="D593" s="5">
        <f>C593-B593</f>
        <v>6.9444444444444198E-3</v>
      </c>
      <c r="E593" s="6" t="s">
        <v>31</v>
      </c>
      <c r="F593" s="7" t="s">
        <v>18</v>
      </c>
      <c r="G593" s="7" t="str">
        <f>IF(F593="P1","Normal activity",IF(F593="P2","Clustering / aggregation",IF(F593="P3","Agitation",IF(F593="P4","Lethargy",IF(F593="P5","Jumping / splashing",IF(F593="P6","Reactivity to noise"))))))</f>
        <v>Lethargy</v>
      </c>
      <c r="H593" s="7" t="str">
        <f>IF(F593="P1","Regular swimming, even distribution",IF(F593="P2","Fish grouped in one corner",IF(F593="P3","Rapid swimming, escape behavior",IF(F593="P4","Little movement",IF(F593="P5","Jumping out of the water",IF(F593="P6","Reaction to a tool or impact"))))))</f>
        <v>Little movement</v>
      </c>
      <c r="I593" s="6" t="s">
        <v>417</v>
      </c>
    </row>
    <row r="594" spans="1:9" x14ac:dyDescent="0.35">
      <c r="A594" s="4">
        <v>46184</v>
      </c>
      <c r="B594" s="10">
        <v>0.37013888888888891</v>
      </c>
      <c r="C594" s="10">
        <v>0.37708333333333333</v>
      </c>
      <c r="D594" s="5">
        <f>C594-B594</f>
        <v>6.9444444444444198E-3</v>
      </c>
      <c r="E594" s="6" t="s">
        <v>27</v>
      </c>
      <c r="F594" s="7" t="s">
        <v>12</v>
      </c>
      <c r="G594" s="7" t="str">
        <f>IF(F594="P1","Normal activity",IF(F594="P2","Clustering / aggregation",IF(F594="P3","Agitation",IF(F594="P4","Lethargy",IF(F594="P5","Jumping / splashing",IF(F594="P6","Reactivity to noise"))))))</f>
        <v>Clustering / aggregation</v>
      </c>
      <c r="H594" s="7" t="str">
        <f>IF(F594="P1","Regular swimming, even distribution",IF(F594="P2","Fish grouped in one corner",IF(F594="P3","Rapid swimming, escape behavior",IF(F594="P4","Little movement",IF(F594="P5","Jumping out of the water",IF(F594="P6","Reaction to a tool or impact"))))))</f>
        <v>Fish grouped in one corner</v>
      </c>
      <c r="I594" s="6" t="s">
        <v>418</v>
      </c>
    </row>
    <row r="595" spans="1:9" x14ac:dyDescent="0.35">
      <c r="A595" s="4">
        <v>46184</v>
      </c>
      <c r="B595" s="10">
        <v>0.37013888888888891</v>
      </c>
      <c r="C595" s="10">
        <v>0.37708333333333333</v>
      </c>
      <c r="D595" s="5">
        <f>C595-B595</f>
        <v>6.9444444444444198E-3</v>
      </c>
      <c r="E595" s="6" t="s">
        <v>28</v>
      </c>
      <c r="F595" s="7" t="s">
        <v>12</v>
      </c>
      <c r="G595" s="7" t="str">
        <f>IF(F595="P1","Normal activity",IF(F595="P2","Clustering / aggregation",IF(F595="P3","Agitation",IF(F595="P4","Lethargy",IF(F595="P5","Jumping / splashing",IF(F595="P6","Reactivity to noise"))))))</f>
        <v>Clustering / aggregation</v>
      </c>
      <c r="H595" s="7" t="str">
        <f>IF(F595="P1","Regular swimming, even distribution",IF(F595="P2","Fish grouped in one corner",IF(F595="P3","Rapid swimming, escape behavior",IF(F595="P4","Little movement",IF(F595="P5","Jumping out of the water",IF(F595="P6","Reaction to a tool or impact"))))))</f>
        <v>Fish grouped in one corner</v>
      </c>
      <c r="I595" s="6" t="s">
        <v>418</v>
      </c>
    </row>
    <row r="596" spans="1:9" x14ac:dyDescent="0.35">
      <c r="A596" s="4">
        <v>46184</v>
      </c>
      <c r="B596" s="10">
        <v>0.37013888888888891</v>
      </c>
      <c r="C596" s="10">
        <v>0.37708333333333333</v>
      </c>
      <c r="D596" s="5">
        <f>C596-B596</f>
        <v>6.9444444444444198E-3</v>
      </c>
      <c r="E596" s="6" t="s">
        <v>28</v>
      </c>
      <c r="F596" s="7" t="s">
        <v>9</v>
      </c>
      <c r="G596" s="7" t="str">
        <f>IF(F596="P1","Normal activity",IF(F596="P2","Clustering / aggregation",IF(F596="P3","Agitation",IF(F596="P4","Lethargy",IF(F596="P5","Jumping / splashing",IF(F596="P6","Reactivity to noise"))))))</f>
        <v>Normal activity</v>
      </c>
      <c r="H596" s="7" t="str">
        <f>IF(F596="P1","Regular swimming, even distribution",IF(F596="P2","Fish grouped in one corner",IF(F596="P3","Rapid swimming, escape behavior",IF(F596="P4","Little movement",IF(F596="P5","Jumping out of the water",IF(F596="P6","Reaction to a tool or impact"))))))</f>
        <v>Regular swimming, even distribution</v>
      </c>
      <c r="I596" s="6" t="s">
        <v>419</v>
      </c>
    </row>
    <row r="597" spans="1:9" x14ac:dyDescent="0.35">
      <c r="A597" s="4">
        <v>46184</v>
      </c>
      <c r="B597" s="10">
        <v>0.37013888888888891</v>
      </c>
      <c r="C597" s="10">
        <v>0.37708333333333333</v>
      </c>
      <c r="D597" s="5">
        <f>C597-B597</f>
        <v>6.9444444444444198E-3</v>
      </c>
      <c r="E597" s="6" t="s">
        <v>29</v>
      </c>
      <c r="F597" s="7" t="s">
        <v>12</v>
      </c>
      <c r="G597" s="7" t="str">
        <f>IF(F597="P1","Normal activity",IF(F597="P2","Clustering / aggregation",IF(F597="P3","Agitation",IF(F597="P4","Lethargy",IF(F597="P5","Jumping / splashing",IF(F597="P6","Reactivity to noise"))))))</f>
        <v>Clustering / aggregation</v>
      </c>
      <c r="H597" s="7" t="str">
        <f>IF(F597="P1","Regular swimming, even distribution",IF(F597="P2","Fish grouped in one corner",IF(F597="P3","Rapid swimming, escape behavior",IF(F597="P4","Little movement",IF(F597="P5","Jumping out of the water",IF(F597="P6","Reaction to a tool or impact"))))))</f>
        <v>Fish grouped in one corner</v>
      </c>
      <c r="I597" s="6" t="s">
        <v>418</v>
      </c>
    </row>
    <row r="598" spans="1:9" x14ac:dyDescent="0.35">
      <c r="A598" s="4">
        <v>46184</v>
      </c>
      <c r="B598" s="10">
        <v>0.37013888888888891</v>
      </c>
      <c r="C598" s="10">
        <v>0.37708333333333333</v>
      </c>
      <c r="D598" s="5">
        <f>C598-B598</f>
        <v>6.9444444444444198E-3</v>
      </c>
      <c r="E598" s="6" t="s">
        <v>29</v>
      </c>
      <c r="F598" s="7" t="s">
        <v>9</v>
      </c>
      <c r="G598" s="7" t="str">
        <f>IF(F598="P1","Normal activity",IF(F598="P2","Clustering / aggregation",IF(F598="P3","Agitation",IF(F598="P4","Lethargy",IF(F598="P5","Jumping / splashing",IF(F598="P6","Reactivity to noise"))))))</f>
        <v>Normal activity</v>
      </c>
      <c r="H598" s="7" t="str">
        <f>IF(F598="P1","Regular swimming, even distribution",IF(F598="P2","Fish grouped in one corner",IF(F598="P3","Rapid swimming, escape behavior",IF(F598="P4","Little movement",IF(F598="P5","Jumping out of the water",IF(F598="P6","Reaction to a tool or impact"))))))</f>
        <v>Regular swimming, even distribution</v>
      </c>
      <c r="I598" s="6" t="s">
        <v>420</v>
      </c>
    </row>
    <row r="599" spans="1:9" x14ac:dyDescent="0.35">
      <c r="A599" s="4">
        <v>46184</v>
      </c>
      <c r="B599" s="10">
        <v>0.37013888888888891</v>
      </c>
      <c r="C599" s="10">
        <v>0.37708333333333333</v>
      </c>
      <c r="D599" s="5">
        <f>C599-B599</f>
        <v>6.9444444444444198E-3</v>
      </c>
      <c r="E599" s="6" t="s">
        <v>31</v>
      </c>
      <c r="F599" s="7" t="s">
        <v>12</v>
      </c>
      <c r="G599" s="7" t="str">
        <f>IF(F599="P1","Normal activity",IF(F599="P2","Clustering / aggregation",IF(F599="P3","Agitation",IF(F599="P4","Lethargy",IF(F599="P5","Jumping / splashing",IF(F599="P6","Reactivity to noise"))))))</f>
        <v>Clustering / aggregation</v>
      </c>
      <c r="H599" s="7" t="str">
        <f>IF(F599="P1","Regular swimming, even distribution",IF(F599="P2","Fish grouped in one corner",IF(F599="P3","Rapid swimming, escape behavior",IF(F599="P4","Little movement",IF(F599="P5","Jumping out of the water",IF(F599="P6","Reaction to a tool or impact"))))))</f>
        <v>Fish grouped in one corner</v>
      </c>
      <c r="I599" s="6" t="s">
        <v>415</v>
      </c>
    </row>
    <row r="600" spans="1:9" x14ac:dyDescent="0.35">
      <c r="A600" s="4">
        <v>46184</v>
      </c>
      <c r="B600" s="10">
        <v>0.37013888888888891</v>
      </c>
      <c r="C600" s="10">
        <v>0.37708333333333333</v>
      </c>
      <c r="D600" s="5">
        <f>C600-B600</f>
        <v>6.9444444444444198E-3</v>
      </c>
      <c r="E600" s="6" t="s">
        <v>31</v>
      </c>
      <c r="F600" s="7" t="s">
        <v>18</v>
      </c>
      <c r="G600" s="7" t="str">
        <f>IF(F600="P1","Normal activity",IF(F600="P2","Clustering / aggregation",IF(F600="P3","Agitation",IF(F600="P4","Lethargy",IF(F600="P5","Jumping / splashing",IF(F600="P6","Reactivity to noise"))))))</f>
        <v>Lethargy</v>
      </c>
      <c r="H600" s="7" t="str">
        <f>IF(F600="P1","Regular swimming, even distribution",IF(F600="P2","Fish grouped in one corner",IF(F600="P3","Rapid swimming, escape behavior",IF(F600="P4","Little movement",IF(F600="P5","Jumping out of the water",IF(F600="P6","Reaction to a tool or impact"))))))</f>
        <v>Little movement</v>
      </c>
      <c r="I600" s="6" t="s">
        <v>421</v>
      </c>
    </row>
    <row r="601" spans="1:9" x14ac:dyDescent="0.35">
      <c r="A601" s="4">
        <v>46184</v>
      </c>
      <c r="B601" s="10">
        <v>0.37777777777777777</v>
      </c>
      <c r="C601" s="10">
        <v>0.38124999999999998</v>
      </c>
      <c r="D601" s="5">
        <f>C601-B601</f>
        <v>3.4722222222222099E-3</v>
      </c>
      <c r="E601" s="6"/>
      <c r="F601" s="7"/>
      <c r="G601" s="7" t="b">
        <f>IF(F601="P1","Normal activity",IF(F601="P2","Clustering / aggregation",IF(F601="P3","Agitation",IF(F601="P4","Lethargy",IF(F601="P5","Jumping / splashing",IF(F601="P6","Reactivity to noise"))))))</f>
        <v>0</v>
      </c>
      <c r="H601" s="7" t="b">
        <f>IF(F601="P1","Regular swimming, even distribution",IF(F601="P2","Fish grouped in one corner",IF(F601="P3","Rapid swimming, escape behavior",IF(F601="P4","Little movement",IF(F601="P5","Jumping out of the water",IF(F601="P6","Reaction to a tool or impact"))))))</f>
        <v>0</v>
      </c>
      <c r="I601" s="6" t="s">
        <v>355</v>
      </c>
    </row>
    <row r="602" spans="1:9" x14ac:dyDescent="0.35">
      <c r="A602" s="4">
        <v>46184</v>
      </c>
      <c r="B602" s="10">
        <v>0.38194444444444442</v>
      </c>
      <c r="C602" s="10">
        <v>0.3888888888888889</v>
      </c>
      <c r="D602" s="5">
        <f>C602-B602</f>
        <v>6.9444444444444753E-3</v>
      </c>
      <c r="E602" s="6" t="s">
        <v>27</v>
      </c>
      <c r="F602" s="7" t="s">
        <v>12</v>
      </c>
      <c r="G602" s="7" t="str">
        <f>IF(F602="P1","Normal activity",IF(F602="P2","Clustering / aggregation",IF(F602="P3","Agitation",IF(F602="P4","Lethargy",IF(F602="P5","Jumping / splashing",IF(F602="P6","Reactivity to noise"))))))</f>
        <v>Clustering / aggregation</v>
      </c>
      <c r="H602" s="7" t="str">
        <f>IF(F602="P1","Regular swimming, even distribution",IF(F602="P2","Fish grouped in one corner",IF(F602="P3","Rapid swimming, escape behavior",IF(F602="P4","Little movement",IF(F602="P5","Jumping out of the water",IF(F602="P6","Reaction to a tool or impact"))))))</f>
        <v>Fish grouped in one corner</v>
      </c>
      <c r="I602" s="6" t="s">
        <v>422</v>
      </c>
    </row>
    <row r="603" spans="1:9" x14ac:dyDescent="0.35">
      <c r="A603" s="4">
        <v>46184</v>
      </c>
      <c r="B603" s="10">
        <v>0.38194444444444442</v>
      </c>
      <c r="C603" s="10">
        <v>0.3888888888888889</v>
      </c>
      <c r="D603" s="5">
        <f>C603-B603</f>
        <v>6.9444444444444753E-3</v>
      </c>
      <c r="E603" s="6" t="s">
        <v>27</v>
      </c>
      <c r="F603" s="7" t="s">
        <v>15</v>
      </c>
      <c r="G603" s="7" t="str">
        <f>IF(F603="P1","Normal activity",IF(F603="P2","Clustering / aggregation",IF(F603="P3","Agitation",IF(F603="P4","Lethargy",IF(F603="P5","Jumping / splashing",IF(F603="P6","Reactivity to noise"))))))</f>
        <v>Agitation</v>
      </c>
      <c r="H603" s="7" t="str">
        <f>IF(F603="P1","Regular swimming, even distribution",IF(F603="P2","Fish grouped in one corner",IF(F603="P3","Rapid swimming, escape behavior",IF(F603="P4","Little movement",IF(F603="P5","Jumping out of the water",IF(F603="P6","Reaction to a tool or impact"))))))</f>
        <v>Rapid swimming, escape behavior</v>
      </c>
      <c r="I603" s="6" t="s">
        <v>423</v>
      </c>
    </row>
    <row r="604" spans="1:9" x14ac:dyDescent="0.35">
      <c r="A604" s="4">
        <v>46184</v>
      </c>
      <c r="B604" s="10">
        <v>0.38194444444444442</v>
      </c>
      <c r="C604" s="10">
        <v>0.3888888888888889</v>
      </c>
      <c r="D604" s="5">
        <f>C604-B604</f>
        <v>6.9444444444444753E-3</v>
      </c>
      <c r="E604" s="6" t="s">
        <v>27</v>
      </c>
      <c r="F604" s="7" t="s">
        <v>9</v>
      </c>
      <c r="G604" s="7" t="str">
        <f>IF(F604="P1","Normal activity",IF(F604="P2","Clustering / aggregation",IF(F604="P3","Agitation",IF(F604="P4","Lethargy",IF(F604="P5","Jumping / splashing",IF(F604="P6","Reactivity to noise"))))))</f>
        <v>Normal activity</v>
      </c>
      <c r="H604" s="7" t="str">
        <f>IF(F604="P1","Regular swimming, even distribution",IF(F604="P2","Fish grouped in one corner",IF(F604="P3","Rapid swimming, escape behavior",IF(F604="P4","Little movement",IF(F604="P5","Jumping out of the water",IF(F604="P6","Reaction to a tool or impact"))))))</f>
        <v>Regular swimming, even distribution</v>
      </c>
      <c r="I604" s="6" t="s">
        <v>424</v>
      </c>
    </row>
    <row r="605" spans="1:9" x14ac:dyDescent="0.35">
      <c r="A605" s="4">
        <v>46184</v>
      </c>
      <c r="B605" s="10">
        <v>0.38194444444444442</v>
      </c>
      <c r="C605" s="10">
        <v>0.3888888888888889</v>
      </c>
      <c r="D605" s="5">
        <f>C605-B605</f>
        <v>6.9444444444444753E-3</v>
      </c>
      <c r="E605" s="6" t="s">
        <v>28</v>
      </c>
      <c r="F605" s="7" t="s">
        <v>15</v>
      </c>
      <c r="G605" s="7" t="str">
        <f>IF(F605="P1","Normal activity",IF(F605="P2","Clustering / aggregation",IF(F605="P3","Agitation",IF(F605="P4","Lethargy",IF(F605="P5","Jumping / splashing",IF(F605="P6","Reactivity to noise"))))))</f>
        <v>Agitation</v>
      </c>
      <c r="H605" s="7" t="str">
        <f>IF(F605="P1","Regular swimming, even distribution",IF(F605="P2","Fish grouped in one corner",IF(F605="P3","Rapid swimming, escape behavior",IF(F605="P4","Little movement",IF(F605="P5","Jumping out of the water",IF(F605="P6","Reaction to a tool or impact"))))))</f>
        <v>Rapid swimming, escape behavior</v>
      </c>
      <c r="I605" s="6" t="s">
        <v>425</v>
      </c>
    </row>
    <row r="606" spans="1:9" x14ac:dyDescent="0.35">
      <c r="A606" s="4">
        <v>46184</v>
      </c>
      <c r="B606" s="10">
        <v>0.38194444444444442</v>
      </c>
      <c r="C606" s="10">
        <v>0.3888888888888889</v>
      </c>
      <c r="D606" s="5">
        <f>C606-B606</f>
        <v>6.9444444444444753E-3</v>
      </c>
      <c r="E606" s="6" t="s">
        <v>28</v>
      </c>
      <c r="F606" s="7" t="s">
        <v>12</v>
      </c>
      <c r="G606" s="7" t="str">
        <f>IF(F606="P1","Normal activity",IF(F606="P2","Clustering / aggregation",IF(F606="P3","Agitation",IF(F606="P4","Lethargy",IF(F606="P5","Jumping / splashing",IF(F606="P6","Reactivity to noise"))))))</f>
        <v>Clustering / aggregation</v>
      </c>
      <c r="H606" s="7" t="str">
        <f>IF(F606="P1","Regular swimming, even distribution",IF(F606="P2","Fish grouped in one corner",IF(F606="P3","Rapid swimming, escape behavior",IF(F606="P4","Little movement",IF(F606="P5","Jumping out of the water",IF(F606="P6","Reaction to a tool or impact"))))))</f>
        <v>Fish grouped in one corner</v>
      </c>
      <c r="I606" s="6" t="s">
        <v>422</v>
      </c>
    </row>
    <row r="607" spans="1:9" x14ac:dyDescent="0.35">
      <c r="A607" s="4">
        <v>46184</v>
      </c>
      <c r="B607" s="10">
        <v>0.38194444444444442</v>
      </c>
      <c r="C607" s="10">
        <v>0.3888888888888889</v>
      </c>
      <c r="D607" s="5">
        <f>C607-B607</f>
        <v>6.9444444444444753E-3</v>
      </c>
      <c r="E607" s="6" t="s">
        <v>28</v>
      </c>
      <c r="F607" s="7" t="s">
        <v>9</v>
      </c>
      <c r="G607" s="7" t="str">
        <f>IF(F607="P1","Normal activity",IF(F607="P2","Clustering / aggregation",IF(F607="P3","Agitation",IF(F607="P4","Lethargy",IF(F607="P5","Jumping / splashing",IF(F607="P6","Reactivity to noise"))))))</f>
        <v>Normal activity</v>
      </c>
      <c r="H607" s="7" t="str">
        <f>IF(F607="P1","Regular swimming, even distribution",IF(F607="P2","Fish grouped in one corner",IF(F607="P3","Rapid swimming, escape behavior",IF(F607="P4","Little movement",IF(F607="P5","Jumping out of the water",IF(F607="P6","Reaction to a tool or impact"))))))</f>
        <v>Regular swimming, even distribution</v>
      </c>
      <c r="I607" s="6" t="s">
        <v>416</v>
      </c>
    </row>
    <row r="608" spans="1:9" x14ac:dyDescent="0.35">
      <c r="A608" s="4">
        <v>46184</v>
      </c>
      <c r="B608" s="10">
        <v>0.38194444444444442</v>
      </c>
      <c r="C608" s="10">
        <v>0.3888888888888889</v>
      </c>
      <c r="D608" s="5">
        <f>C608-B608</f>
        <v>6.9444444444444753E-3</v>
      </c>
      <c r="E608" s="6" t="s">
        <v>29</v>
      </c>
      <c r="F608" s="7" t="s">
        <v>15</v>
      </c>
      <c r="G608" s="7" t="str">
        <f>IF(F608="P1","Normal activity",IF(F608="P2","Clustering / aggregation",IF(F608="P3","Agitation",IF(F608="P4","Lethargy",IF(F608="P5","Jumping / splashing",IF(F608="P6","Reactivity to noise"))))))</f>
        <v>Agitation</v>
      </c>
      <c r="H608" s="7" t="str">
        <f>IF(F608="P1","Regular swimming, even distribution",IF(F608="P2","Fish grouped in one corner",IF(F608="P3","Rapid swimming, escape behavior",IF(F608="P4","Little movement",IF(F608="P5","Jumping out of the water",IF(F608="P6","Reaction to a tool or impact"))))))</f>
        <v>Rapid swimming, escape behavior</v>
      </c>
      <c r="I608" s="10" t="s">
        <v>426</v>
      </c>
    </row>
    <row r="609" spans="1:9" x14ac:dyDescent="0.35">
      <c r="A609" s="4">
        <v>46184</v>
      </c>
      <c r="B609" s="10">
        <v>0.38194444444444442</v>
      </c>
      <c r="C609" s="10">
        <v>0.3888888888888889</v>
      </c>
      <c r="D609" s="5">
        <f>C609-B609</f>
        <v>6.9444444444444753E-3</v>
      </c>
      <c r="E609" s="6" t="s">
        <v>29</v>
      </c>
      <c r="F609" s="7" t="s">
        <v>9</v>
      </c>
      <c r="G609" s="7" t="str">
        <f>IF(F609="P1","Normal activity",IF(F609="P2","Clustering / aggregation",IF(F609="P3","Agitation",IF(F609="P4","Lethargy",IF(F609="P5","Jumping / splashing",IF(F609="P6","Reactivity to noise"))))))</f>
        <v>Normal activity</v>
      </c>
      <c r="H609" s="7" t="str">
        <f>IF(F609="P1","Regular swimming, even distribution",IF(F609="P2","Fish grouped in one corner",IF(F609="P3","Rapid swimming, escape behavior",IF(F609="P4","Little movement",IF(F609="P5","Jumping out of the water",IF(F609="P6","Reaction to a tool or impact"))))))</f>
        <v>Regular swimming, even distribution</v>
      </c>
      <c r="I609" s="6" t="s">
        <v>427</v>
      </c>
    </row>
    <row r="610" spans="1:9" x14ac:dyDescent="0.35">
      <c r="A610" s="4">
        <v>46184</v>
      </c>
      <c r="B610" s="10">
        <v>0.38194444444444442</v>
      </c>
      <c r="C610" s="10">
        <v>0.3888888888888889</v>
      </c>
      <c r="D610" s="5">
        <f>C610-B610</f>
        <v>6.9444444444444753E-3</v>
      </c>
      <c r="E610" s="6" t="s">
        <v>31</v>
      </c>
      <c r="F610" s="7" t="s">
        <v>15</v>
      </c>
      <c r="G610" s="7" t="str">
        <f>IF(F610="P1","Normal activity",IF(F610="P2","Clustering / aggregation",IF(F610="P3","Agitation",IF(F610="P4","Lethargy",IF(F610="P5","Jumping / splashing",IF(F610="P6","Reactivity to noise"))))))</f>
        <v>Agitation</v>
      </c>
      <c r="H610" s="7" t="str">
        <f>IF(F610="P1","Regular swimming, even distribution",IF(F610="P2","Fish grouped in one corner",IF(F610="P3","Rapid swimming, escape behavior",IF(F610="P4","Little movement",IF(F610="P5","Jumping out of the water",IF(F610="P6","Reaction to a tool or impact"))))))</f>
        <v>Rapid swimming, escape behavior</v>
      </c>
      <c r="I610" s="6" t="s">
        <v>428</v>
      </c>
    </row>
    <row r="611" spans="1:9" x14ac:dyDescent="0.35">
      <c r="A611" s="4">
        <v>46184</v>
      </c>
      <c r="B611" s="10">
        <v>0.38194444444444442</v>
      </c>
      <c r="C611" s="10">
        <v>0.3888888888888889</v>
      </c>
      <c r="D611" s="5">
        <f>C611-B611</f>
        <v>6.9444444444444753E-3</v>
      </c>
      <c r="E611" s="6" t="s">
        <v>31</v>
      </c>
      <c r="F611" s="7" t="s">
        <v>12</v>
      </c>
      <c r="G611" s="7" t="str">
        <f>IF(F611="P1","Normal activity",IF(F611="P2","Clustering / aggregation",IF(F611="P3","Agitation",IF(F611="P4","Lethargy",IF(F611="P5","Jumping / splashing",IF(F611="P6","Reactivity to noise"))))))</f>
        <v>Clustering / aggregation</v>
      </c>
      <c r="H611" s="7" t="str">
        <f>IF(F611="P1","Regular swimming, even distribution",IF(F611="P2","Fish grouped in one corner",IF(F611="P3","Rapid swimming, escape behavior",IF(F611="P4","Little movement",IF(F611="P5","Jumping out of the water",IF(F611="P6","Reaction to a tool or impact"))))))</f>
        <v>Fish grouped in one corner</v>
      </c>
      <c r="I611" s="6" t="s">
        <v>415</v>
      </c>
    </row>
    <row r="612" spans="1:9" x14ac:dyDescent="0.35">
      <c r="A612" s="4">
        <v>46184</v>
      </c>
      <c r="B612" s="10">
        <v>0.38194444444444442</v>
      </c>
      <c r="C612" s="10">
        <v>0.3888888888888889</v>
      </c>
      <c r="D612" s="5">
        <f>C612-B612</f>
        <v>6.9444444444444753E-3</v>
      </c>
      <c r="E612" s="6" t="s">
        <v>31</v>
      </c>
      <c r="F612" s="7" t="s">
        <v>9</v>
      </c>
      <c r="G612" s="7" t="str">
        <f>IF(F612="P1","Normal activity",IF(F612="P2","Clustering / aggregation",IF(F612="P3","Agitation",IF(F612="P4","Lethargy",IF(F612="P5","Jumping / splashing",IF(F612="P6","Reactivity to noise"))))))</f>
        <v>Normal activity</v>
      </c>
      <c r="H612" s="7" t="str">
        <f>IF(F612="P1","Regular swimming, even distribution",IF(F612="P2","Fish grouped in one corner",IF(F612="P3","Rapid swimming, escape behavior",IF(F612="P4","Little movement",IF(F612="P5","Jumping out of the water",IF(F612="P6","Reaction to a tool or impact"))))))</f>
        <v>Regular swimming, even distribution</v>
      </c>
      <c r="I612" s="6" t="s">
        <v>429</v>
      </c>
    </row>
    <row r="613" spans="1:9" x14ac:dyDescent="0.35">
      <c r="A613" s="4">
        <v>46184</v>
      </c>
      <c r="B613" s="10">
        <v>0.38194444444444442</v>
      </c>
      <c r="C613" s="10">
        <v>0.3888888888888889</v>
      </c>
      <c r="D613" s="5">
        <f>C613-B613</f>
        <v>6.9444444444444753E-3</v>
      </c>
      <c r="E613" s="6" t="s">
        <v>31</v>
      </c>
      <c r="F613" s="7" t="s">
        <v>18</v>
      </c>
      <c r="G613" s="7" t="str">
        <f>IF(F613="P1","Normal activity",IF(F613="P2","Clustering / aggregation",IF(F613="P3","Agitation",IF(F613="P4","Lethargy",IF(F613="P5","Jumping / splashing",IF(F613="P6","Reactivity to noise"))))))</f>
        <v>Lethargy</v>
      </c>
      <c r="H613" s="7" t="str">
        <f>IF(F613="P1","Regular swimming, even distribution",IF(F613="P2","Fish grouped in one corner",IF(F613="P3","Rapid swimming, escape behavior",IF(F613="P4","Little movement",IF(F613="P5","Jumping out of the water",IF(F613="P6","Reaction to a tool or impact"))))))</f>
        <v>Little movement</v>
      </c>
      <c r="I613" s="6" t="s">
        <v>421</v>
      </c>
    </row>
    <row r="614" spans="1:9" x14ac:dyDescent="0.35">
      <c r="A614" s="4">
        <v>46184</v>
      </c>
      <c r="B614" s="10">
        <v>0.43888888888888888</v>
      </c>
      <c r="C614" s="10">
        <v>0.44583333333333336</v>
      </c>
      <c r="D614" s="5">
        <f>C614-B614</f>
        <v>6.9444444444444753E-3</v>
      </c>
      <c r="E614" s="6" t="s">
        <v>27</v>
      </c>
      <c r="F614" s="7" t="s">
        <v>12</v>
      </c>
      <c r="G614" s="7" t="str">
        <f>IF(F614="P1","Normal activity",IF(F614="P2","Clustering / aggregation",IF(F614="P3","Agitation",IF(F614="P4","Lethargy",IF(F614="P5","Jumping / splashing",IF(F614="P6","Reactivity to noise"))))))</f>
        <v>Clustering / aggregation</v>
      </c>
      <c r="H614" s="7" t="str">
        <f>IF(F614="P1","Regular swimming, even distribution",IF(F614="P2","Fish grouped in one corner",IF(F614="P3","Rapid swimming, escape behavior",IF(F614="P4","Little movement",IF(F614="P5","Jumping out of the water",IF(F614="P6","Reaction to a tool or impact"))))))</f>
        <v>Fish grouped in one corner</v>
      </c>
      <c r="I614" s="6" t="s">
        <v>334</v>
      </c>
    </row>
    <row r="615" spans="1:9" x14ac:dyDescent="0.35">
      <c r="A615" s="4">
        <v>46184</v>
      </c>
      <c r="B615" s="10">
        <v>0.43888888888888888</v>
      </c>
      <c r="C615" s="10">
        <v>0.44583333333333336</v>
      </c>
      <c r="D615" s="5">
        <f>C615-B615</f>
        <v>6.9444444444444753E-3</v>
      </c>
      <c r="E615" s="6" t="s">
        <v>28</v>
      </c>
      <c r="F615" s="7" t="s">
        <v>12</v>
      </c>
      <c r="G615" s="7" t="str">
        <f>IF(F615="P1","Normal activity",IF(F615="P2","Clustering / aggregation",IF(F615="P3","Agitation",IF(F615="P4","Lethargy",IF(F615="P5","Jumping / splashing",IF(F615="P6","Reactivity to noise"))))))</f>
        <v>Clustering / aggregation</v>
      </c>
      <c r="H615" s="7" t="str">
        <f>IF(F615="P1","Regular swimming, even distribution",IF(F615="P2","Fish grouped in one corner",IF(F615="P3","Rapid swimming, escape behavior",IF(F615="P4","Little movement",IF(F615="P5","Jumping out of the water",IF(F615="P6","Reaction to a tool or impact"))))))</f>
        <v>Fish grouped in one corner</v>
      </c>
      <c r="I615" s="6" t="s">
        <v>341</v>
      </c>
    </row>
    <row r="616" spans="1:9" x14ac:dyDescent="0.35">
      <c r="A616" s="4">
        <v>46184</v>
      </c>
      <c r="B616" s="10">
        <v>0.43888888888888888</v>
      </c>
      <c r="C616" s="10">
        <v>0.44583333333333336</v>
      </c>
      <c r="D616" s="5">
        <f>C616-B616</f>
        <v>6.9444444444444753E-3</v>
      </c>
      <c r="E616" s="6" t="s">
        <v>28</v>
      </c>
      <c r="F616" s="7" t="s">
        <v>15</v>
      </c>
      <c r="G616" s="7" t="str">
        <f>IF(F616="P1","Normal activity",IF(F616="P2","Clustering / aggregation",IF(F616="P3","Agitation",IF(F616="P4","Lethargy",IF(F616="P5","Jumping / splashing",IF(F616="P6","Reactivity to noise"))))))</f>
        <v>Agitation</v>
      </c>
      <c r="H616" s="7" t="str">
        <f>IF(F616="P1","Regular swimming, even distribution",IF(F616="P2","Fish grouped in one corner",IF(F616="P3","Rapid swimming, escape behavior",IF(F616="P4","Little movement",IF(F616="P5","Jumping out of the water",IF(F616="P6","Reaction to a tool or impact"))))))</f>
        <v>Rapid swimming, escape behavior</v>
      </c>
      <c r="I616" s="6" t="s">
        <v>430</v>
      </c>
    </row>
    <row r="617" spans="1:9" x14ac:dyDescent="0.35">
      <c r="A617" s="4">
        <v>46184</v>
      </c>
      <c r="B617" s="10">
        <v>0.43888888888888888</v>
      </c>
      <c r="C617" s="10">
        <v>0.44583333333333336</v>
      </c>
      <c r="D617" s="5">
        <f>C617-B617</f>
        <v>6.9444444444444753E-3</v>
      </c>
      <c r="E617" s="6" t="s">
        <v>28</v>
      </c>
      <c r="F617" s="7" t="s">
        <v>9</v>
      </c>
      <c r="G617" s="7" t="str">
        <f>IF(F617="P1","Normal activity",IF(F617="P2","Clustering / aggregation",IF(F617="P3","Agitation",IF(F617="P4","Lethargy",IF(F617="P5","Jumping / splashing",IF(F617="P6","Reactivity to noise"))))))</f>
        <v>Normal activity</v>
      </c>
      <c r="H617" s="7" t="str">
        <f>IF(F617="P1","Regular swimming, even distribution",IF(F617="P2","Fish grouped in one corner",IF(F617="P3","Rapid swimming, escape behavior",IF(F617="P4","Little movement",IF(F617="P5","Jumping out of the water",IF(F617="P6","Reaction to a tool or impact"))))))</f>
        <v>Regular swimming, even distribution</v>
      </c>
      <c r="I617" s="6" t="s">
        <v>431</v>
      </c>
    </row>
    <row r="618" spans="1:9" x14ac:dyDescent="0.35">
      <c r="A618" s="4">
        <v>46184</v>
      </c>
      <c r="B618" s="10">
        <v>0.43888888888888888</v>
      </c>
      <c r="C618" s="10">
        <v>0.44583333333333336</v>
      </c>
      <c r="D618" s="5">
        <f>C618-B618</f>
        <v>6.9444444444444753E-3</v>
      </c>
      <c r="E618" s="6" t="s">
        <v>28</v>
      </c>
      <c r="F618" s="7" t="s">
        <v>21</v>
      </c>
      <c r="G618" s="7" t="str">
        <f>IF(F618="P1","Normal activity",IF(F618="P2","Clustering / aggregation",IF(F618="P3","Agitation",IF(F618="P4","Lethargy",IF(F618="P5","Jumping / splashing",IF(F618="P6","Reactivity to noise"))))))</f>
        <v>Jumping / splashing</v>
      </c>
      <c r="H618" s="7" t="str">
        <f>IF(F618="P1","Regular swimming, even distribution",IF(F618="P2","Fish grouped in one corner",IF(F618="P3","Rapid swimming, escape behavior",IF(F618="P4","Little movement",IF(F618="P5","Jumping out of the water",IF(F618="P6","Reaction to a tool or impact"))))))</f>
        <v>Jumping out of the water</v>
      </c>
      <c r="I618" s="6" t="s">
        <v>432</v>
      </c>
    </row>
    <row r="619" spans="1:9" x14ac:dyDescent="0.35">
      <c r="A619" s="4">
        <v>46184</v>
      </c>
      <c r="B619" s="10">
        <v>0.43888888888888888</v>
      </c>
      <c r="C619" s="10">
        <v>0.44583333333333336</v>
      </c>
      <c r="D619" s="5">
        <f>C619-B619</f>
        <v>6.9444444444444753E-3</v>
      </c>
      <c r="E619" s="6" t="s">
        <v>29</v>
      </c>
      <c r="F619" s="7" t="s">
        <v>9</v>
      </c>
      <c r="G619" s="7" t="str">
        <f>IF(F619="P1","Normal activity",IF(F619="P2","Clustering / aggregation",IF(F619="P3","Agitation",IF(F619="P4","Lethargy",IF(F619="P5","Jumping / splashing",IF(F619="P6","Reactivity to noise"))))))</f>
        <v>Normal activity</v>
      </c>
      <c r="H619" s="7" t="str">
        <f>IF(F619="P1","Regular swimming, even distribution",IF(F619="P2","Fish grouped in one corner",IF(F619="P3","Rapid swimming, escape behavior",IF(F619="P4","Little movement",IF(F619="P5","Jumping out of the water",IF(F619="P6","Reaction to a tool or impact"))))))</f>
        <v>Regular swimming, even distribution</v>
      </c>
      <c r="I619" s="6" t="s">
        <v>250</v>
      </c>
    </row>
    <row r="620" spans="1:9" x14ac:dyDescent="0.35">
      <c r="A620" s="4">
        <v>46184</v>
      </c>
      <c r="B620" s="10">
        <v>0.43888888888888888</v>
      </c>
      <c r="C620" s="10">
        <v>0.44583333333333336</v>
      </c>
      <c r="D620" s="5">
        <f>C620-B620</f>
        <v>6.9444444444444753E-3</v>
      </c>
      <c r="E620" s="6" t="s">
        <v>29</v>
      </c>
      <c r="F620" s="7" t="s">
        <v>15</v>
      </c>
      <c r="G620" s="7" t="str">
        <f>IF(F620="P1","Normal activity",IF(F620="P2","Clustering / aggregation",IF(F620="P3","Agitation",IF(F620="P4","Lethargy",IF(F620="P5","Jumping / splashing",IF(F620="P6","Reactivity to noise"))))))</f>
        <v>Agitation</v>
      </c>
      <c r="H620" s="7" t="str">
        <f>IF(F620="P1","Regular swimming, even distribution",IF(F620="P2","Fish grouped in one corner",IF(F620="P3","Rapid swimming, escape behavior",IF(F620="P4","Little movement",IF(F620="P5","Jumping out of the water",IF(F620="P6","Reaction to a tool or impact"))))))</f>
        <v>Rapid swimming, escape behavior</v>
      </c>
      <c r="I620" s="6" t="s">
        <v>433</v>
      </c>
    </row>
    <row r="621" spans="1:9" x14ac:dyDescent="0.35">
      <c r="A621" s="4">
        <v>46184</v>
      </c>
      <c r="B621" s="10">
        <v>0.43888888888888888</v>
      </c>
      <c r="C621" s="10">
        <v>0.44583333333333336</v>
      </c>
      <c r="D621" s="5">
        <f>C621-B621</f>
        <v>6.9444444444444753E-3</v>
      </c>
      <c r="E621" s="6" t="s">
        <v>31</v>
      </c>
      <c r="F621" s="7" t="s">
        <v>12</v>
      </c>
      <c r="G621" s="7" t="str">
        <f>IF(F621="P1","Normal activity",IF(F621="P2","Clustering / aggregation",IF(F621="P3","Agitation",IF(F621="P4","Lethargy",IF(F621="P5","Jumping / splashing",IF(F621="P6","Reactivity to noise"))))))</f>
        <v>Clustering / aggregation</v>
      </c>
      <c r="H621" s="7" t="str">
        <f>IF(F621="P1","Regular swimming, even distribution",IF(F621="P2","Fish grouped in one corner",IF(F621="P3","Rapid swimming, escape behavior",IF(F621="P4","Little movement",IF(F621="P5","Jumping out of the water",IF(F621="P6","Reaction to a tool or impact"))))))</f>
        <v>Fish grouped in one corner</v>
      </c>
      <c r="I621" s="6" t="s">
        <v>415</v>
      </c>
    </row>
    <row r="622" spans="1:9" x14ac:dyDescent="0.35">
      <c r="A622" s="4">
        <v>46184</v>
      </c>
      <c r="B622" s="10">
        <v>0.43888888888888888</v>
      </c>
      <c r="C622" s="10">
        <v>0.44583333333333336</v>
      </c>
      <c r="D622" s="5">
        <f>C622-B622</f>
        <v>6.9444444444444753E-3</v>
      </c>
      <c r="E622" s="6" t="s">
        <v>31</v>
      </c>
      <c r="F622" s="7" t="s">
        <v>9</v>
      </c>
      <c r="G622" s="7" t="str">
        <f>IF(F622="P1","Normal activity",IF(F622="P2","Clustering / aggregation",IF(F622="P3","Agitation",IF(F622="P4","Lethargy",IF(F622="P5","Jumping / splashing",IF(F622="P6","Reactivity to noise"))))))</f>
        <v>Normal activity</v>
      </c>
      <c r="H622" s="7" t="str">
        <f>IF(F622="P1","Regular swimming, even distribution",IF(F622="P2","Fish grouped in one corner",IF(F622="P3","Rapid swimming, escape behavior",IF(F622="P4","Little movement",IF(F622="P5","Jumping out of the water",IF(F622="P6","Reaction to a tool or impact"))))))</f>
        <v>Regular swimming, even distribution</v>
      </c>
      <c r="I622" s="6" t="s">
        <v>434</v>
      </c>
    </row>
    <row r="623" spans="1:9" x14ac:dyDescent="0.35">
      <c r="A623" s="4">
        <v>46184</v>
      </c>
      <c r="B623" s="10">
        <v>0.4465277777777778</v>
      </c>
      <c r="C623" s="10">
        <v>0.45</v>
      </c>
      <c r="D623" s="5">
        <f>C623-B623</f>
        <v>3.4722222222222099E-3</v>
      </c>
      <c r="E623" s="6"/>
      <c r="F623" s="7"/>
      <c r="G623" s="7" t="b">
        <f>IF(F623="P1","Normal activity",IF(F623="P2","Clustering / aggregation",IF(F623="P3","Agitation",IF(F623="P4","Lethargy",IF(F623="P5","Jumping / splashing",IF(F623="P6","Reactivity to noise"))))))</f>
        <v>0</v>
      </c>
      <c r="H623" s="7" t="b">
        <f>IF(F623="P1","Regular swimming, even distribution",IF(F623="P2","Fish grouped in one corner",IF(F623="P3","Rapid swimming, escape behavior",IF(F623="P4","Little movement",IF(F623="P5","Jumping out of the water",IF(F623="P6","Reaction to a tool or impact"))))))</f>
        <v>0</v>
      </c>
      <c r="I623" s="6" t="s">
        <v>435</v>
      </c>
    </row>
    <row r="624" spans="1:9" x14ac:dyDescent="0.35">
      <c r="A624" s="4">
        <v>46184</v>
      </c>
      <c r="B624" s="10">
        <v>0.45069444444444445</v>
      </c>
      <c r="C624" s="10">
        <v>0.45763888888888887</v>
      </c>
      <c r="D624" s="5">
        <f>C624-B624</f>
        <v>6.9444444444444198E-3</v>
      </c>
      <c r="E624" s="6" t="s">
        <v>27</v>
      </c>
      <c r="F624" s="7" t="s">
        <v>12</v>
      </c>
      <c r="G624" s="7" t="str">
        <f>IF(F624="P1","Normal activity",IF(F624="P2","Clustering / aggregation",IF(F624="P3","Agitation",IF(F624="P4","Lethargy",IF(F624="P5","Jumping / splashing",IF(F624="P6","Reactivity to noise"))))))</f>
        <v>Clustering / aggregation</v>
      </c>
      <c r="H624" s="7" t="str">
        <f>IF(F624="P1","Regular swimming, even distribution",IF(F624="P2","Fish grouped in one corner",IF(F624="P3","Rapid swimming, escape behavior",IF(F624="P4","Little movement",IF(F624="P5","Jumping out of the water",IF(F624="P6","Reaction to a tool or impact"))))))</f>
        <v>Fish grouped in one corner</v>
      </c>
      <c r="I624" s="6" t="s">
        <v>341</v>
      </c>
    </row>
    <row r="625" spans="1:9" x14ac:dyDescent="0.35">
      <c r="A625" s="4">
        <v>46184</v>
      </c>
      <c r="B625" s="10">
        <v>0.45069444444444445</v>
      </c>
      <c r="C625" s="10">
        <v>0.45763888888888887</v>
      </c>
      <c r="D625" s="5">
        <f>C625-B625</f>
        <v>6.9444444444444198E-3</v>
      </c>
      <c r="E625" s="6" t="s">
        <v>28</v>
      </c>
      <c r="F625" s="7" t="s">
        <v>15</v>
      </c>
      <c r="G625" s="7" t="str">
        <f>IF(F625="P1","Normal activity",IF(F625="P2","Clustering / aggregation",IF(F625="P3","Agitation",IF(F625="P4","Lethargy",IF(F625="P5","Jumping / splashing",IF(F625="P6","Reactivity to noise"))))))</f>
        <v>Agitation</v>
      </c>
      <c r="H625" s="7" t="str">
        <f>IF(F625="P1","Regular swimming, even distribution",IF(F625="P2","Fish grouped in one corner",IF(F625="P3","Rapid swimming, escape behavior",IF(F625="P4","Little movement",IF(F625="P5","Jumping out of the water",IF(F625="P6","Reaction to a tool or impact"))))))</f>
        <v>Rapid swimming, escape behavior</v>
      </c>
      <c r="I625" s="6" t="s">
        <v>436</v>
      </c>
    </row>
    <row r="626" spans="1:9" x14ac:dyDescent="0.35">
      <c r="A626" s="4">
        <v>46184</v>
      </c>
      <c r="B626" s="10">
        <v>0.45069444444444445</v>
      </c>
      <c r="C626" s="10">
        <v>0.45763888888888887</v>
      </c>
      <c r="D626" s="5">
        <f>C626-B626</f>
        <v>6.9444444444444198E-3</v>
      </c>
      <c r="E626" s="6" t="s">
        <v>28</v>
      </c>
      <c r="F626" s="7" t="s">
        <v>12</v>
      </c>
      <c r="G626" s="7" t="str">
        <f>IF(F626="P1","Normal activity",IF(F626="P2","Clustering / aggregation",IF(F626="P3","Agitation",IF(F626="P4","Lethargy",IF(F626="P5","Jumping / splashing",IF(F626="P6","Reactivity to noise"))))))</f>
        <v>Clustering / aggregation</v>
      </c>
      <c r="H626" s="7" t="str">
        <f>IF(F626="P1","Regular swimming, even distribution",IF(F626="P2","Fish grouped in one corner",IF(F626="P3","Rapid swimming, escape behavior",IF(F626="P4","Little movement",IF(F626="P5","Jumping out of the water",IF(F626="P6","Reaction to a tool or impact"))))))</f>
        <v>Fish grouped in one corner</v>
      </c>
      <c r="I626" s="6" t="s">
        <v>341</v>
      </c>
    </row>
    <row r="627" spans="1:9" x14ac:dyDescent="0.35">
      <c r="A627" s="4">
        <v>46184</v>
      </c>
      <c r="B627" s="10">
        <v>0.45069444444444445</v>
      </c>
      <c r="C627" s="10">
        <v>0.45763888888888887</v>
      </c>
      <c r="D627" s="5">
        <f>C627-B627</f>
        <v>6.9444444444444198E-3</v>
      </c>
      <c r="E627" s="6" t="s">
        <v>28</v>
      </c>
      <c r="F627" s="7" t="s">
        <v>9</v>
      </c>
      <c r="G627" s="7" t="str">
        <f>IF(F627="P1","Normal activity",IF(F627="P2","Clustering / aggregation",IF(F627="P3","Agitation",IF(F627="P4","Lethargy",IF(F627="P5","Jumping / splashing",IF(F627="P6","Reactivity to noise"))))))</f>
        <v>Normal activity</v>
      </c>
      <c r="H627" s="7" t="str">
        <f>IF(F627="P1","Regular swimming, even distribution",IF(F627="P2","Fish grouped in one corner",IF(F627="P3","Rapid swimming, escape behavior",IF(F627="P4","Little movement",IF(F627="P5","Jumping out of the water",IF(F627="P6","Reaction to a tool or impact"))))))</f>
        <v>Regular swimming, even distribution</v>
      </c>
      <c r="I627" s="6" t="s">
        <v>437</v>
      </c>
    </row>
    <row r="628" spans="1:9" x14ac:dyDescent="0.35">
      <c r="A628" s="4">
        <v>46184</v>
      </c>
      <c r="B628" s="10">
        <v>0.45069444444444445</v>
      </c>
      <c r="C628" s="10">
        <v>0.45763888888888887</v>
      </c>
      <c r="D628" s="5">
        <f>C628-B628</f>
        <v>6.9444444444444198E-3</v>
      </c>
      <c r="E628" s="6" t="s">
        <v>29</v>
      </c>
      <c r="F628" s="7" t="s">
        <v>9</v>
      </c>
      <c r="G628" s="7" t="str">
        <f>IF(F628="P1","Normal activity",IF(F628="P2","Clustering / aggregation",IF(F628="P3","Agitation",IF(F628="P4","Lethargy",IF(F628="P5","Jumping / splashing",IF(F628="P6","Reactivity to noise"))))))</f>
        <v>Normal activity</v>
      </c>
      <c r="H628" s="7" t="str">
        <f>IF(F628="P1","Regular swimming, even distribution",IF(F628="P2","Fish grouped in one corner",IF(F628="P3","Rapid swimming, escape behavior",IF(F628="P4","Little movement",IF(F628="P5","Jumping out of the water",IF(F628="P6","Reaction to a tool or impact"))))))</f>
        <v>Regular swimming, even distribution</v>
      </c>
      <c r="I628" s="6" t="s">
        <v>250</v>
      </c>
    </row>
    <row r="629" spans="1:9" x14ac:dyDescent="0.35">
      <c r="A629" s="4">
        <v>46184</v>
      </c>
      <c r="B629" s="10">
        <v>0.45069444444444445</v>
      </c>
      <c r="C629" s="10">
        <v>0.45763888888888887</v>
      </c>
      <c r="D629" s="5">
        <f>C629-B629</f>
        <v>6.9444444444444198E-3</v>
      </c>
      <c r="E629" s="6" t="s">
        <v>31</v>
      </c>
      <c r="F629" s="7" t="s">
        <v>12</v>
      </c>
      <c r="G629" s="7" t="str">
        <f>IF(F629="P1","Normal activity",IF(F629="P2","Clustering / aggregation",IF(F629="P3","Agitation",IF(F629="P4","Lethargy",IF(F629="P5","Jumping / splashing",IF(F629="P6","Reactivity to noise"))))))</f>
        <v>Clustering / aggregation</v>
      </c>
      <c r="H629" s="7" t="str">
        <f>IF(F629="P1","Regular swimming, even distribution",IF(F629="P2","Fish grouped in one corner",IF(F629="P3","Rapid swimming, escape behavior",IF(F629="P4","Little movement",IF(F629="P5","Jumping out of the water",IF(F629="P6","Reaction to a tool or impact"))))))</f>
        <v>Fish grouped in one corner</v>
      </c>
      <c r="I629" s="6" t="s">
        <v>415</v>
      </c>
    </row>
    <row r="630" spans="1:9" x14ac:dyDescent="0.35">
      <c r="A630" s="4">
        <v>46184</v>
      </c>
      <c r="B630" s="10">
        <v>0.45069444444444445</v>
      </c>
      <c r="C630" s="10">
        <v>0.45763888888888887</v>
      </c>
      <c r="D630" s="5">
        <f>C630-B630</f>
        <v>6.9444444444444198E-3</v>
      </c>
      <c r="E630" s="6" t="s">
        <v>31</v>
      </c>
      <c r="F630" s="7" t="s">
        <v>9</v>
      </c>
      <c r="G630" s="7" t="str">
        <f>IF(F630="P1","Normal activity",IF(F630="P2","Clustering / aggregation",IF(F630="P3","Agitation",IF(F630="P4","Lethargy",IF(F630="P5","Jumping / splashing",IF(F630="P6","Reactivity to noise"))))))</f>
        <v>Normal activity</v>
      </c>
      <c r="H630" s="7" t="str">
        <f>IF(F630="P1","Regular swimming, even distribution",IF(F630="P2","Fish grouped in one corner",IF(F630="P3","Rapid swimming, escape behavior",IF(F630="P4","Little movement",IF(F630="P5","Jumping out of the water",IF(F630="P6","Reaction to a tool or impact"))))))</f>
        <v>Regular swimming, even distribution</v>
      </c>
      <c r="I630" s="6" t="s">
        <v>438</v>
      </c>
    </row>
    <row r="631" spans="1:9" x14ac:dyDescent="0.35">
      <c r="A631" s="4">
        <v>46184</v>
      </c>
      <c r="B631" s="10">
        <v>0.45069444444444445</v>
      </c>
      <c r="C631" s="10">
        <v>0.45763888888888887</v>
      </c>
      <c r="D631" s="5">
        <f>C631-B631</f>
        <v>6.9444444444444198E-3</v>
      </c>
      <c r="E631" s="6" t="s">
        <v>31</v>
      </c>
      <c r="F631" s="7" t="s">
        <v>18</v>
      </c>
      <c r="G631" s="7" t="str">
        <f>IF(F631="P1","Normal activity",IF(F631="P2","Clustering / aggregation",IF(F631="P3","Agitation",IF(F631="P4","Lethargy",IF(F631="P5","Jumping / splashing",IF(F631="P6","Reactivity to noise"))))))</f>
        <v>Lethargy</v>
      </c>
      <c r="H631" s="7" t="str">
        <f>IF(F631="P1","Regular swimming, even distribution",IF(F631="P2","Fish grouped in one corner",IF(F631="P3","Rapid swimming, escape behavior",IF(F631="P4","Little movement",IF(F631="P5","Jumping out of the water",IF(F631="P6","Reaction to a tool or impact"))))))</f>
        <v>Little movement</v>
      </c>
      <c r="I631" s="6" t="s">
        <v>439</v>
      </c>
    </row>
    <row r="632" spans="1:9" x14ac:dyDescent="0.35">
      <c r="A632" s="4">
        <v>46184</v>
      </c>
      <c r="B632" s="10">
        <v>0.45069444444444445</v>
      </c>
      <c r="C632" s="10">
        <v>0.45763888888888887</v>
      </c>
      <c r="D632" s="5">
        <f>C632-B632</f>
        <v>6.9444444444444198E-3</v>
      </c>
      <c r="E632" s="6" t="s">
        <v>31</v>
      </c>
      <c r="F632" s="7" t="s">
        <v>15</v>
      </c>
      <c r="G632" s="7" t="str">
        <f>IF(F632="P1","Normal activity",IF(F632="P2","Clustering / aggregation",IF(F632="P3","Agitation",IF(F632="P4","Lethargy",IF(F632="P5","Jumping / splashing",IF(F632="P6","Reactivity to noise"))))))</f>
        <v>Agitation</v>
      </c>
      <c r="H632" s="7" t="str">
        <f>IF(F632="P1","Regular swimming, even distribution",IF(F632="P2","Fish grouped in one corner",IF(F632="P3","Rapid swimming, escape behavior",IF(F632="P4","Little movement",IF(F632="P5","Jumping out of the water",IF(F632="P6","Reaction to a tool or impact"))))))</f>
        <v>Rapid swimming, escape behavior</v>
      </c>
      <c r="I632" s="6" t="s">
        <v>440</v>
      </c>
    </row>
    <row r="633" spans="1:9" x14ac:dyDescent="0.35">
      <c r="A633" s="4">
        <v>46184</v>
      </c>
      <c r="B633" s="10">
        <v>0.50069444444444444</v>
      </c>
      <c r="C633" s="10">
        <v>0.50763888888888886</v>
      </c>
      <c r="D633" s="5">
        <f>C633-B633</f>
        <v>6.9444444444444198E-3</v>
      </c>
      <c r="E633" s="6" t="s">
        <v>27</v>
      </c>
      <c r="F633" s="7" t="s">
        <v>12</v>
      </c>
      <c r="G633" s="7" t="str">
        <f>IF(F633="P1","Normal activity",IF(F633="P2","Clustering / aggregation",IF(F633="P3","Agitation",IF(F633="P4","Lethargy",IF(F633="P5","Jumping / splashing",IF(F633="P6","Reactivity to noise"))))))</f>
        <v>Clustering / aggregation</v>
      </c>
      <c r="H633" s="7" t="str">
        <f>IF(F633="P1","Regular swimming, even distribution",IF(F633="P2","Fish grouped in one corner",IF(F633="P3","Rapid swimming, escape behavior",IF(F633="P4","Little movement",IF(F633="P5","Jumping out of the water",IF(F633="P6","Reaction to a tool or impact"))))))</f>
        <v>Fish grouped in one corner</v>
      </c>
      <c r="I633" s="6" t="s">
        <v>341</v>
      </c>
    </row>
    <row r="634" spans="1:9" x14ac:dyDescent="0.35">
      <c r="A634" s="4">
        <v>46184</v>
      </c>
      <c r="B634" s="10">
        <v>0.50069444444444444</v>
      </c>
      <c r="C634" s="10">
        <v>0.50763888888888886</v>
      </c>
      <c r="D634" s="5">
        <f>C634-B634</f>
        <v>6.9444444444444198E-3</v>
      </c>
      <c r="E634" s="6" t="s">
        <v>28</v>
      </c>
      <c r="F634" s="7" t="s">
        <v>12</v>
      </c>
      <c r="G634" s="7" t="str">
        <f>IF(F634="P1","Normal activity",IF(F634="P2","Clustering / aggregation",IF(F634="P3","Agitation",IF(F634="P4","Lethargy",IF(F634="P5","Jumping / splashing",IF(F634="P6","Reactivity to noise"))))))</f>
        <v>Clustering / aggregation</v>
      </c>
      <c r="H634" s="7" t="str">
        <f>IF(F634="P1","Regular swimming, even distribution",IF(F634="P2","Fish grouped in one corner",IF(F634="P3","Rapid swimming, escape behavior",IF(F634="P4","Little movement",IF(F634="P5","Jumping out of the water",IF(F634="P6","Reaction to a tool or impact"))))))</f>
        <v>Fish grouped in one corner</v>
      </c>
      <c r="I634" s="6" t="s">
        <v>341</v>
      </c>
    </row>
    <row r="635" spans="1:9" x14ac:dyDescent="0.35">
      <c r="A635" s="4">
        <v>46184</v>
      </c>
      <c r="B635" s="10">
        <v>0.50069444444444444</v>
      </c>
      <c r="C635" s="10">
        <v>0.50763888888888886</v>
      </c>
      <c r="D635" s="5">
        <f>C635-B635</f>
        <v>6.9444444444444198E-3</v>
      </c>
      <c r="E635" s="6" t="s">
        <v>28</v>
      </c>
      <c r="F635" s="7" t="s">
        <v>9</v>
      </c>
      <c r="G635" s="7" t="str">
        <f>IF(F635="P1","Normal activity",IF(F635="P2","Clustering / aggregation",IF(F635="P3","Agitation",IF(F635="P4","Lethargy",IF(F635="P5","Jumping / splashing",IF(F635="P6","Reactivity to noise"))))))</f>
        <v>Normal activity</v>
      </c>
      <c r="H635" s="7" t="str">
        <f>IF(F635="P1","Regular swimming, even distribution",IF(F635="P2","Fish grouped in one corner",IF(F635="P3","Rapid swimming, escape behavior",IF(F635="P4","Little movement",IF(F635="P5","Jumping out of the water",IF(F635="P6","Reaction to a tool or impact"))))))</f>
        <v>Regular swimming, even distribution</v>
      </c>
      <c r="I635" s="6" t="s">
        <v>416</v>
      </c>
    </row>
    <row r="636" spans="1:9" x14ac:dyDescent="0.35">
      <c r="A636" s="4">
        <v>46184</v>
      </c>
      <c r="B636" s="10">
        <v>0.50069444444444444</v>
      </c>
      <c r="C636" s="10">
        <v>0.50763888888888886</v>
      </c>
      <c r="D636" s="5">
        <f>C636-B636</f>
        <v>6.9444444444444198E-3</v>
      </c>
      <c r="E636" s="6" t="s">
        <v>28</v>
      </c>
      <c r="F636" s="7" t="s">
        <v>15</v>
      </c>
      <c r="G636" s="7" t="str">
        <f>IF(F636="P1","Normal activity",IF(F636="P2","Clustering / aggregation",IF(F636="P3","Agitation",IF(F636="P4","Lethargy",IF(F636="P5","Jumping / splashing",IF(F636="P6","Reactivity to noise"))))))</f>
        <v>Agitation</v>
      </c>
      <c r="H636" s="7" t="str">
        <f>IF(F636="P1","Regular swimming, even distribution",IF(F636="P2","Fish grouped in one corner",IF(F636="P3","Rapid swimming, escape behavior",IF(F636="P4","Little movement",IF(F636="P5","Jumping out of the water",IF(F636="P6","Reaction to a tool or impact"))))))</f>
        <v>Rapid swimming, escape behavior</v>
      </c>
      <c r="I636" s="6" t="s">
        <v>441</v>
      </c>
    </row>
    <row r="637" spans="1:9" x14ac:dyDescent="0.35">
      <c r="A637" s="4">
        <v>46184</v>
      </c>
      <c r="B637" s="10">
        <v>0.50069444444444444</v>
      </c>
      <c r="C637" s="10">
        <v>0.50763888888888886</v>
      </c>
      <c r="D637" s="5">
        <f>C637-B637</f>
        <v>6.9444444444444198E-3</v>
      </c>
      <c r="E637" s="6" t="s">
        <v>29</v>
      </c>
      <c r="F637" s="7" t="s">
        <v>15</v>
      </c>
      <c r="G637" s="7" t="str">
        <f>IF(F637="P1","Normal activity",IF(F637="P2","Clustering / aggregation",IF(F637="P3","Agitation",IF(F637="P4","Lethargy",IF(F637="P5","Jumping / splashing",IF(F637="P6","Reactivity to noise"))))))</f>
        <v>Agitation</v>
      </c>
      <c r="H637" s="7" t="str">
        <f>IF(F637="P1","Regular swimming, even distribution",IF(F637="P2","Fish grouped in one corner",IF(F637="P3","Rapid swimming, escape behavior",IF(F637="P4","Little movement",IF(F637="P5","Jumping out of the water",IF(F637="P6","Reaction to a tool or impact"))))))</f>
        <v>Rapid swimming, escape behavior</v>
      </c>
      <c r="I637" s="6" t="s">
        <v>442</v>
      </c>
    </row>
    <row r="638" spans="1:9" x14ac:dyDescent="0.35">
      <c r="A638" s="4">
        <v>46184</v>
      </c>
      <c r="B638" s="10">
        <v>0.50069444444444444</v>
      </c>
      <c r="C638" s="10">
        <v>0.50763888888888886</v>
      </c>
      <c r="D638" s="5">
        <f>C638-B638</f>
        <v>6.9444444444444198E-3</v>
      </c>
      <c r="E638" s="6" t="s">
        <v>29</v>
      </c>
      <c r="F638" s="7" t="s">
        <v>15</v>
      </c>
      <c r="G638" s="7" t="str">
        <f>IF(F638="P1","Normal activity",IF(F638="P2","Clustering / aggregation",IF(F638="P3","Agitation",IF(F638="P4","Lethargy",IF(F638="P5","Jumping / splashing",IF(F638="P6","Reactivity to noise"))))))</f>
        <v>Agitation</v>
      </c>
      <c r="H638" s="7" t="str">
        <f>IF(F638="P1","Regular swimming, even distribution",IF(F638="P2","Fish grouped in one corner",IF(F638="P3","Rapid swimming, escape behavior",IF(F638="P4","Little movement",IF(F638="P5","Jumping out of the water",IF(F638="P6","Reaction to a tool or impact"))))))</f>
        <v>Rapid swimming, escape behavior</v>
      </c>
      <c r="I638" s="6" t="s">
        <v>443</v>
      </c>
    </row>
    <row r="639" spans="1:9" x14ac:dyDescent="0.35">
      <c r="A639" s="4">
        <v>46184</v>
      </c>
      <c r="B639" s="10">
        <v>0.50069444444444444</v>
      </c>
      <c r="C639" s="10">
        <v>0.50763888888888886</v>
      </c>
      <c r="D639" s="5">
        <f>C639-B639</f>
        <v>6.9444444444444198E-3</v>
      </c>
      <c r="E639" s="6" t="s">
        <v>29</v>
      </c>
      <c r="F639" s="7" t="s">
        <v>9</v>
      </c>
      <c r="G639" s="7" t="str">
        <f>IF(F639="P1","Normal activity",IF(F639="P2","Clustering / aggregation",IF(F639="P3","Agitation",IF(F639="P4","Lethargy",IF(F639="P5","Jumping / splashing",IF(F639="P6","Reactivity to noise"))))))</f>
        <v>Normal activity</v>
      </c>
      <c r="H639" s="7" t="str">
        <f>IF(F639="P1","Regular swimming, even distribution",IF(F639="P2","Fish grouped in one corner",IF(F639="P3","Rapid swimming, escape behavior",IF(F639="P4","Little movement",IF(F639="P5","Jumping out of the water",IF(F639="P6","Reaction to a tool or impact"))))))</f>
        <v>Regular swimming, even distribution</v>
      </c>
      <c r="I639" s="6" t="s">
        <v>444</v>
      </c>
    </row>
    <row r="640" spans="1:9" x14ac:dyDescent="0.35">
      <c r="A640" s="4">
        <v>46184</v>
      </c>
      <c r="B640" s="10">
        <v>0.50069444444444444</v>
      </c>
      <c r="C640" s="10">
        <v>0.50763888888888886</v>
      </c>
      <c r="D640" s="5">
        <f>C640-B640</f>
        <v>6.9444444444444198E-3</v>
      </c>
      <c r="E640" s="6" t="s">
        <v>31</v>
      </c>
      <c r="F640" s="7" t="s">
        <v>12</v>
      </c>
      <c r="G640" s="7" t="str">
        <f>IF(F640="P1","Normal activity",IF(F640="P2","Clustering / aggregation",IF(F640="P3","Agitation",IF(F640="P4","Lethargy",IF(F640="P5","Jumping / splashing",IF(F640="P6","Reactivity to noise"))))))</f>
        <v>Clustering / aggregation</v>
      </c>
      <c r="H640" s="7" t="str">
        <f>IF(F640="P1","Regular swimming, even distribution",IF(F640="P2","Fish grouped in one corner",IF(F640="P3","Rapid swimming, escape behavior",IF(F640="P4","Little movement",IF(F640="P5","Jumping out of the water",IF(F640="P6","Reaction to a tool or impact"))))))</f>
        <v>Fish grouped in one corner</v>
      </c>
      <c r="I640" s="6" t="s">
        <v>415</v>
      </c>
    </row>
    <row r="641" spans="1:9" x14ac:dyDescent="0.35">
      <c r="A641" s="4">
        <v>46184</v>
      </c>
      <c r="B641" s="10">
        <v>0.50069444444444444</v>
      </c>
      <c r="C641" s="10">
        <v>0.50763888888888886</v>
      </c>
      <c r="D641" s="5">
        <f>C641-B641</f>
        <v>6.9444444444444198E-3</v>
      </c>
      <c r="E641" s="6" t="s">
        <v>31</v>
      </c>
      <c r="F641" s="7" t="s">
        <v>9</v>
      </c>
      <c r="G641" s="7" t="str">
        <f>IF(F641="P1","Normal activity",IF(F641="P2","Clustering / aggregation",IF(F641="P3","Agitation",IF(F641="P4","Lethargy",IF(F641="P5","Jumping / splashing",IF(F641="P6","Reactivity to noise"))))))</f>
        <v>Normal activity</v>
      </c>
      <c r="H641" s="7" t="str">
        <f>IF(F641="P1","Regular swimming, even distribution",IF(F641="P2","Fish grouped in one corner",IF(F641="P3","Rapid swimming, escape behavior",IF(F641="P4","Little movement",IF(F641="P5","Jumping out of the water",IF(F641="P6","Reaction to a tool or impact"))))))</f>
        <v>Regular swimming, even distribution</v>
      </c>
      <c r="I641" s="6" t="s">
        <v>445</v>
      </c>
    </row>
    <row r="642" spans="1:9" x14ac:dyDescent="0.35">
      <c r="A642" s="4">
        <v>46184</v>
      </c>
      <c r="B642" s="10">
        <v>0.50069444444444444</v>
      </c>
      <c r="C642" s="10">
        <v>0.50763888888888886</v>
      </c>
      <c r="D642" s="5">
        <f>C642-B642</f>
        <v>6.9444444444444198E-3</v>
      </c>
      <c r="E642" s="6" t="s">
        <v>31</v>
      </c>
      <c r="F642" s="7" t="s">
        <v>18</v>
      </c>
      <c r="G642" s="7" t="str">
        <f>IF(F642="P1","Normal activity",IF(F642="P2","Clustering / aggregation",IF(F642="P3","Agitation",IF(F642="P4","Lethargy",IF(F642="P5","Jumping / splashing",IF(F642="P6","Reactivity to noise"))))))</f>
        <v>Lethargy</v>
      </c>
      <c r="H642" s="7" t="str">
        <f>IF(F642="P1","Regular swimming, even distribution",IF(F642="P2","Fish grouped in one corner",IF(F642="P3","Rapid swimming, escape behavior",IF(F642="P4","Little movement",IF(F642="P5","Jumping out of the water",IF(F642="P6","Reaction to a tool or impact"))))))</f>
        <v>Little movement</v>
      </c>
      <c r="I642" s="6" t="s">
        <v>439</v>
      </c>
    </row>
    <row r="643" spans="1:9" x14ac:dyDescent="0.35">
      <c r="A643" s="4">
        <v>46184</v>
      </c>
      <c r="B643" s="10">
        <v>0.50902777777777775</v>
      </c>
      <c r="C643" s="10">
        <v>0.51249999999999996</v>
      </c>
      <c r="D643" s="5">
        <f>C643-B643</f>
        <v>3.4722222222222099E-3</v>
      </c>
      <c r="E643" s="6"/>
      <c r="F643" s="7"/>
      <c r="G643" s="7" t="b">
        <f>IF(F643="P1","Normal activity",IF(F643="P2","Clustering / aggregation",IF(F643="P3","Agitation",IF(F643="P4","Lethargy",IF(F643="P5","Jumping / splashing",IF(F643="P6","Reactivity to noise"))))))</f>
        <v>0</v>
      </c>
      <c r="H643" s="7" t="b">
        <f>IF(F643="P1","Regular swimming, even distribution",IF(F643="P2","Fish grouped in one corner",IF(F643="P3","Rapid swimming, escape behavior",IF(F643="P4","Little movement",IF(F643="P5","Jumping out of the water",IF(F643="P6","Reaction to a tool or impact"))))))</f>
        <v>0</v>
      </c>
      <c r="I643" s="6" t="s">
        <v>355</v>
      </c>
    </row>
    <row r="644" spans="1:9" x14ac:dyDescent="0.35">
      <c r="A644" s="4">
        <v>46184</v>
      </c>
      <c r="B644" s="10">
        <v>0.5131944444444444</v>
      </c>
      <c r="C644" s="10">
        <v>0.52013888888888893</v>
      </c>
      <c r="D644" s="5">
        <f>C644-B644</f>
        <v>6.9444444444445308E-3</v>
      </c>
      <c r="E644" s="6" t="s">
        <v>27</v>
      </c>
      <c r="F644" s="7" t="s">
        <v>15</v>
      </c>
      <c r="G644" s="7" t="str">
        <f>IF(F644="P1","Normal activity",IF(F644="P2","Clustering / aggregation",IF(F644="P3","Agitation",IF(F644="P4","Lethargy",IF(F644="P5","Jumping / splashing",IF(F644="P6","Reactivity to noise"))))))</f>
        <v>Agitation</v>
      </c>
      <c r="H644" s="7" t="str">
        <f>IF(F644="P1","Regular swimming, even distribution",IF(F644="P2","Fish grouped in one corner",IF(F644="P3","Rapid swimming, escape behavior",IF(F644="P4","Little movement",IF(F644="P5","Jumping out of the water",IF(F644="P6","Reaction to a tool or impact"))))))</f>
        <v>Rapid swimming, escape behavior</v>
      </c>
      <c r="I644" s="6" t="s">
        <v>446</v>
      </c>
    </row>
    <row r="645" spans="1:9" x14ac:dyDescent="0.35">
      <c r="A645" s="4">
        <v>46184</v>
      </c>
      <c r="B645" s="10">
        <v>0.5131944444444444</v>
      </c>
      <c r="C645" s="10">
        <v>0.52013888888888893</v>
      </c>
      <c r="D645" s="5">
        <f>C645-B645</f>
        <v>6.9444444444445308E-3</v>
      </c>
      <c r="E645" s="6" t="s">
        <v>27</v>
      </c>
      <c r="F645" s="7" t="s">
        <v>12</v>
      </c>
      <c r="G645" s="7" t="str">
        <f>IF(F645="P1","Normal activity",IF(F645="P2","Clustering / aggregation",IF(F645="P3","Agitation",IF(F645="P4","Lethargy",IF(F645="P5","Jumping / splashing",IF(F645="P6","Reactivity to noise"))))))</f>
        <v>Clustering / aggregation</v>
      </c>
      <c r="H645" s="7" t="str">
        <f>IF(F645="P1","Regular swimming, even distribution",IF(F645="P2","Fish grouped in one corner",IF(F645="P3","Rapid swimming, escape behavior",IF(F645="P4","Little movement",IF(F645="P5","Jumping out of the water",IF(F645="P6","Reaction to a tool or impact"))))))</f>
        <v>Fish grouped in one corner</v>
      </c>
      <c r="I645" s="6" t="s">
        <v>341</v>
      </c>
    </row>
    <row r="646" spans="1:9" x14ac:dyDescent="0.35">
      <c r="A646" s="4">
        <v>46184</v>
      </c>
      <c r="B646" s="10">
        <v>0.5131944444444444</v>
      </c>
      <c r="C646" s="10">
        <v>0.52013888888888893</v>
      </c>
      <c r="D646" s="5">
        <f>C646-B646</f>
        <v>6.9444444444445308E-3</v>
      </c>
      <c r="E646" s="6" t="s">
        <v>27</v>
      </c>
      <c r="F646" s="7" t="s">
        <v>15</v>
      </c>
      <c r="G646" s="7" t="str">
        <f>IF(F646="P1","Normal activity",IF(F646="P2","Clustering / aggregation",IF(F646="P3","Agitation",IF(F646="P4","Lethargy",IF(F646="P5","Jumping / splashing",IF(F646="P6","Reactivity to noise"))))))</f>
        <v>Agitation</v>
      </c>
      <c r="H646" s="7" t="str">
        <f>IF(F646="P1","Regular swimming, even distribution",IF(F646="P2","Fish grouped in one corner",IF(F646="P3","Rapid swimming, escape behavior",IF(F646="P4","Little movement",IF(F646="P5","Jumping out of the water",IF(F646="P6","Reaction to a tool or impact"))))))</f>
        <v>Rapid swimming, escape behavior</v>
      </c>
      <c r="I646" s="6" t="s">
        <v>447</v>
      </c>
    </row>
    <row r="647" spans="1:9" x14ac:dyDescent="0.35">
      <c r="A647" s="4">
        <v>46184</v>
      </c>
      <c r="B647" s="10">
        <v>0.5131944444444444</v>
      </c>
      <c r="C647" s="10">
        <v>0.52013888888888893</v>
      </c>
      <c r="D647" s="5">
        <f>C647-B647</f>
        <v>6.9444444444445308E-3</v>
      </c>
      <c r="E647" s="6" t="s">
        <v>27</v>
      </c>
      <c r="F647" s="7" t="s">
        <v>9</v>
      </c>
      <c r="G647" s="7" t="str">
        <f>IF(F647="P1","Normal activity",IF(F647="P2","Clustering / aggregation",IF(F647="P3","Agitation",IF(F647="P4","Lethargy",IF(F647="P5","Jumping / splashing",IF(F647="P6","Reactivity to noise"))))))</f>
        <v>Normal activity</v>
      </c>
      <c r="H647" s="7" t="str">
        <f>IF(F647="P1","Regular swimming, even distribution",IF(F647="P2","Fish grouped in one corner",IF(F647="P3","Rapid swimming, escape behavior",IF(F647="P4","Little movement",IF(F647="P5","Jumping out of the water",IF(F647="P6","Reaction to a tool or impact"))))))</f>
        <v>Regular swimming, even distribution</v>
      </c>
      <c r="I647" s="6" t="s">
        <v>416</v>
      </c>
    </row>
    <row r="648" spans="1:9" x14ac:dyDescent="0.35">
      <c r="A648" s="4">
        <v>46184</v>
      </c>
      <c r="B648" s="10">
        <v>0.5131944444444444</v>
      </c>
      <c r="C648" s="10">
        <v>0.52013888888888893</v>
      </c>
      <c r="D648" s="5">
        <f>C648-B648</f>
        <v>6.9444444444445308E-3</v>
      </c>
      <c r="E648" s="6" t="s">
        <v>27</v>
      </c>
      <c r="F648" s="7" t="s">
        <v>15</v>
      </c>
      <c r="G648" s="7" t="str">
        <f>IF(F648="P1","Normal activity",IF(F648="P2","Clustering / aggregation",IF(F648="P3","Agitation",IF(F648="P4","Lethargy",IF(F648="P5","Jumping / splashing",IF(F648="P6","Reactivity to noise"))))))</f>
        <v>Agitation</v>
      </c>
      <c r="H648" s="7" t="str">
        <f>IF(F648="P1","Regular swimming, even distribution",IF(F648="P2","Fish grouped in one corner",IF(F648="P3","Rapid swimming, escape behavior",IF(F648="P4","Little movement",IF(F648="P5","Jumping out of the water",IF(F648="P6","Reaction to a tool or impact"))))))</f>
        <v>Rapid swimming, escape behavior</v>
      </c>
      <c r="I648" s="6" t="s">
        <v>448</v>
      </c>
    </row>
    <row r="649" spans="1:9" x14ac:dyDescent="0.35">
      <c r="A649" s="4">
        <v>46184</v>
      </c>
      <c r="B649" s="10">
        <v>0.5131944444444444</v>
      </c>
      <c r="C649" s="10">
        <v>0.52013888888888893</v>
      </c>
      <c r="D649" s="5">
        <f>C649-B649</f>
        <v>6.9444444444445308E-3</v>
      </c>
      <c r="E649" s="6" t="s">
        <v>28</v>
      </c>
      <c r="F649" s="7" t="s">
        <v>15</v>
      </c>
      <c r="G649" s="7" t="str">
        <f>IF(F649="P1","Normal activity",IF(F649="P2","Clustering / aggregation",IF(F649="P3","Agitation",IF(F649="P4","Lethargy",IF(F649="P5","Jumping / splashing",IF(F649="P6","Reactivity to noise"))))))</f>
        <v>Agitation</v>
      </c>
      <c r="H649" s="7" t="str">
        <f>IF(F649="P1","Regular swimming, even distribution",IF(F649="P2","Fish grouped in one corner",IF(F649="P3","Rapid swimming, escape behavior",IF(F649="P4","Little movement",IF(F649="P5","Jumping out of the water",IF(F649="P6","Reaction to a tool or impact"))))))</f>
        <v>Rapid swimming, escape behavior</v>
      </c>
      <c r="I649" s="6" t="s">
        <v>449</v>
      </c>
    </row>
    <row r="650" spans="1:9" x14ac:dyDescent="0.35">
      <c r="A650" s="4">
        <v>46184</v>
      </c>
      <c r="B650" s="10">
        <v>0.5131944444444444</v>
      </c>
      <c r="C650" s="10">
        <v>0.52013888888888893</v>
      </c>
      <c r="D650" s="5">
        <f>C650-B650</f>
        <v>6.9444444444445308E-3</v>
      </c>
      <c r="E650" s="6" t="s">
        <v>28</v>
      </c>
      <c r="F650" s="7" t="s">
        <v>12</v>
      </c>
      <c r="G650" s="7" t="str">
        <f>IF(F650="P1","Normal activity",IF(F650="P2","Clustering / aggregation",IF(F650="P3","Agitation",IF(F650="P4","Lethargy",IF(F650="P5","Jumping / splashing",IF(F650="P6","Reactivity to noise"))))))</f>
        <v>Clustering / aggregation</v>
      </c>
      <c r="H650" s="7" t="str">
        <f>IF(F650="P1","Regular swimming, even distribution",IF(F650="P2","Fish grouped in one corner",IF(F650="P3","Rapid swimming, escape behavior",IF(F650="P4","Little movement",IF(F650="P5","Jumping out of the water",IF(F650="P6","Reaction to a tool or impact"))))))</f>
        <v>Fish grouped in one corner</v>
      </c>
      <c r="I650" s="6" t="s">
        <v>341</v>
      </c>
    </row>
    <row r="651" spans="1:9" x14ac:dyDescent="0.35">
      <c r="A651" s="4">
        <v>46184</v>
      </c>
      <c r="B651" s="10">
        <v>0.5131944444444444</v>
      </c>
      <c r="C651" s="10">
        <v>0.52013888888888893</v>
      </c>
      <c r="D651" s="5">
        <f>C651-B651</f>
        <v>6.9444444444445308E-3</v>
      </c>
      <c r="E651" s="6" t="s">
        <v>28</v>
      </c>
      <c r="F651" s="7" t="s">
        <v>9</v>
      </c>
      <c r="G651" s="7" t="str">
        <f>IF(F651="P1","Normal activity",IF(F651="P2","Clustering / aggregation",IF(F651="P3","Agitation",IF(F651="P4","Lethargy",IF(F651="P5","Jumping / splashing",IF(F651="P6","Reactivity to noise"))))))</f>
        <v>Normal activity</v>
      </c>
      <c r="H651" s="7" t="str">
        <f>IF(F651="P1","Regular swimming, even distribution",IF(F651="P2","Fish grouped in one corner",IF(F651="P3","Rapid swimming, escape behavior",IF(F651="P4","Little movement",IF(F651="P5","Jumping out of the water",IF(F651="P6","Reaction to a tool or impact"))))))</f>
        <v>Regular swimming, even distribution</v>
      </c>
      <c r="I651" s="6" t="s">
        <v>450</v>
      </c>
    </row>
    <row r="652" spans="1:9" x14ac:dyDescent="0.35">
      <c r="A652" s="4">
        <v>46184</v>
      </c>
      <c r="B652" s="10">
        <v>0.5131944444444444</v>
      </c>
      <c r="C652" s="10">
        <v>0.52013888888888893</v>
      </c>
      <c r="D652" s="5">
        <f>C652-B652</f>
        <v>6.9444444444445308E-3</v>
      </c>
      <c r="E652" s="6" t="s">
        <v>28</v>
      </c>
      <c r="F652" s="7" t="s">
        <v>15</v>
      </c>
      <c r="G652" s="7" t="str">
        <f>IF(F652="P1","Normal activity",IF(F652="P2","Clustering / aggregation",IF(F652="P3","Agitation",IF(F652="P4","Lethargy",IF(F652="P5","Jumping / splashing",IF(F652="P6","Reactivity to noise"))))))</f>
        <v>Agitation</v>
      </c>
      <c r="H652" s="7" t="str">
        <f>IF(F652="P1","Regular swimming, even distribution",IF(F652="P2","Fish grouped in one corner",IF(F652="P3","Rapid swimming, escape behavior",IF(F652="P4","Little movement",IF(F652="P5","Jumping out of the water",IF(F652="P6","Reaction to a tool or impact"))))))</f>
        <v>Rapid swimming, escape behavior</v>
      </c>
      <c r="I652" s="6" t="s">
        <v>451</v>
      </c>
    </row>
    <row r="653" spans="1:9" x14ac:dyDescent="0.35">
      <c r="A653" s="4">
        <v>46184</v>
      </c>
      <c r="B653" s="10">
        <v>0.5131944444444444</v>
      </c>
      <c r="C653" s="10">
        <v>0.52013888888888893</v>
      </c>
      <c r="D653" s="5">
        <f>C653-B653</f>
        <v>6.9444444444445308E-3</v>
      </c>
      <c r="E653" s="6" t="s">
        <v>28</v>
      </c>
      <c r="F653" s="7" t="s">
        <v>15</v>
      </c>
      <c r="G653" s="7" t="str">
        <f>IF(F653="P1","Normal activity",IF(F653="P2","Clustering / aggregation",IF(F653="P3","Agitation",IF(F653="P4","Lethargy",IF(F653="P5","Jumping / splashing",IF(F653="P6","Reactivity to noise"))))))</f>
        <v>Agitation</v>
      </c>
      <c r="H653" s="7" t="str">
        <f>IF(F653="P1","Regular swimming, even distribution",IF(F653="P2","Fish grouped in one corner",IF(F653="P3","Rapid swimming, escape behavior",IF(F653="P4","Little movement",IF(F653="P5","Jumping out of the water",IF(F653="P6","Reaction to a tool or impact"))))))</f>
        <v>Rapid swimming, escape behavior</v>
      </c>
      <c r="I653" s="6" t="s">
        <v>452</v>
      </c>
    </row>
    <row r="654" spans="1:9" x14ac:dyDescent="0.35">
      <c r="A654" s="4">
        <v>46184</v>
      </c>
      <c r="B654" s="10">
        <v>0.5131944444444444</v>
      </c>
      <c r="C654" s="10">
        <v>0.52013888888888893</v>
      </c>
      <c r="D654" s="5">
        <f>C654-B654</f>
        <v>6.9444444444445308E-3</v>
      </c>
      <c r="E654" s="6" t="s">
        <v>29</v>
      </c>
      <c r="F654" s="7" t="s">
        <v>15</v>
      </c>
      <c r="G654" s="7" t="str">
        <f>IF(F654="P1","Normal activity",IF(F654="P2","Clustering / aggregation",IF(F654="P3","Agitation",IF(F654="P4","Lethargy",IF(F654="P5","Jumping / splashing",IF(F654="P6","Reactivity to noise"))))))</f>
        <v>Agitation</v>
      </c>
      <c r="H654" s="7" t="str">
        <f>IF(F654="P1","Regular swimming, even distribution",IF(F654="P2","Fish grouped in one corner",IF(F654="P3","Rapid swimming, escape behavior",IF(F654="P4","Little movement",IF(F654="P5","Jumping out of the water",IF(F654="P6","Reaction to a tool or impact"))))))</f>
        <v>Rapid swimming, escape behavior</v>
      </c>
      <c r="I654" s="6" t="s">
        <v>453</v>
      </c>
    </row>
    <row r="655" spans="1:9" x14ac:dyDescent="0.35">
      <c r="A655" s="4">
        <v>46184</v>
      </c>
      <c r="B655" s="10">
        <v>0.5131944444444444</v>
      </c>
      <c r="C655" s="10">
        <v>0.52013888888888893</v>
      </c>
      <c r="D655" s="5">
        <f>C655-B655</f>
        <v>6.9444444444445308E-3</v>
      </c>
      <c r="E655" s="6" t="s">
        <v>29</v>
      </c>
      <c r="F655" s="7" t="s">
        <v>9</v>
      </c>
      <c r="G655" s="7" t="str">
        <f>IF(F655="P1","Normal activity",IF(F655="P2","Clustering / aggregation",IF(F655="P3","Agitation",IF(F655="P4","Lethargy",IF(F655="P5","Jumping / splashing",IF(F655="P6","Reactivity to noise"))))))</f>
        <v>Normal activity</v>
      </c>
      <c r="H655" s="7" t="str">
        <f>IF(F655="P1","Regular swimming, even distribution",IF(F655="P2","Fish grouped in one corner",IF(F655="P3","Rapid swimming, escape behavior",IF(F655="P4","Little movement",IF(F655="P5","Jumping out of the water",IF(F655="P6","Reaction to a tool or impact"))))))</f>
        <v>Regular swimming, even distribution</v>
      </c>
      <c r="I655" s="6" t="s">
        <v>250</v>
      </c>
    </row>
    <row r="656" spans="1:9" x14ac:dyDescent="0.35">
      <c r="A656" s="4">
        <v>46184</v>
      </c>
      <c r="B656" s="10">
        <v>0.5131944444444444</v>
      </c>
      <c r="C656" s="10">
        <v>0.52013888888888893</v>
      </c>
      <c r="D656" s="5">
        <f>C656-B656</f>
        <v>6.9444444444445308E-3</v>
      </c>
      <c r="E656" s="6" t="s">
        <v>29</v>
      </c>
      <c r="F656" s="7" t="s">
        <v>15</v>
      </c>
      <c r="G656" s="7" t="str">
        <f>IF(F656="P1","Normal activity",IF(F656="P2","Clustering / aggregation",IF(F656="P3","Agitation",IF(F656="P4","Lethargy",IF(F656="P5","Jumping / splashing",IF(F656="P6","Reactivity to noise"))))))</f>
        <v>Agitation</v>
      </c>
      <c r="H656" s="7" t="str">
        <f>IF(F656="P1","Regular swimming, even distribution",IF(F656="P2","Fish grouped in one corner",IF(F656="P3","Rapid swimming, escape behavior",IF(F656="P4","Little movement",IF(F656="P5","Jumping out of the water",IF(F656="P6","Reaction to a tool or impact"))))))</f>
        <v>Rapid swimming, escape behavior</v>
      </c>
      <c r="I656" s="6" t="s">
        <v>454</v>
      </c>
    </row>
    <row r="657" spans="1:9" x14ac:dyDescent="0.35">
      <c r="A657" s="4">
        <v>46184</v>
      </c>
      <c r="B657" s="10">
        <v>0.5131944444444444</v>
      </c>
      <c r="C657" s="10">
        <v>0.52013888888888893</v>
      </c>
      <c r="D657" s="5">
        <f>C657-B657</f>
        <v>6.9444444444445308E-3</v>
      </c>
      <c r="E657" s="6" t="s">
        <v>31</v>
      </c>
      <c r="F657" s="7" t="s">
        <v>12</v>
      </c>
      <c r="G657" s="7" t="str">
        <f>IF(F657="P1","Normal activity",IF(F657="P2","Clustering / aggregation",IF(F657="P3","Agitation",IF(F657="P4","Lethargy",IF(F657="P5","Jumping / splashing",IF(F657="P6","Reactivity to noise"))))))</f>
        <v>Clustering / aggregation</v>
      </c>
      <c r="H657" s="7" t="str">
        <f>IF(F657="P1","Regular swimming, even distribution",IF(F657="P2","Fish grouped in one corner",IF(F657="P3","Rapid swimming, escape behavior",IF(F657="P4","Little movement",IF(F657="P5","Jumping out of the water",IF(F657="P6","Reaction to a tool or impact"))))))</f>
        <v>Fish grouped in one corner</v>
      </c>
      <c r="I657" s="6" t="s">
        <v>455</v>
      </c>
    </row>
    <row r="658" spans="1:9" x14ac:dyDescent="0.35">
      <c r="A658" s="4">
        <v>46184</v>
      </c>
      <c r="B658" s="10">
        <v>0.5131944444444444</v>
      </c>
      <c r="C658" s="10">
        <v>0.52013888888888893</v>
      </c>
      <c r="D658" s="5">
        <f>C658-B658</f>
        <v>6.9444444444445308E-3</v>
      </c>
      <c r="E658" s="6" t="s">
        <v>31</v>
      </c>
      <c r="F658" s="7" t="s">
        <v>9</v>
      </c>
      <c r="G658" s="7" t="str">
        <f>IF(F658="P1","Normal activity",IF(F658="P2","Clustering / aggregation",IF(F658="P3","Agitation",IF(F658="P4","Lethargy",IF(F658="P5","Jumping / splashing",IF(F658="P6","Reactivity to noise"))))))</f>
        <v>Normal activity</v>
      </c>
      <c r="H658" s="7" t="str">
        <f>IF(F658="P1","Regular swimming, even distribution",IF(F658="P2","Fish grouped in one corner",IF(F658="P3","Rapid swimming, escape behavior",IF(F658="P4","Little movement",IF(F658="P5","Jumping out of the water",IF(F658="P6","Reaction to a tool or impact"))))))</f>
        <v>Regular swimming, even distribution</v>
      </c>
      <c r="I658" s="6" t="s">
        <v>456</v>
      </c>
    </row>
    <row r="659" spans="1:9" x14ac:dyDescent="0.35">
      <c r="A659" s="4">
        <v>46184</v>
      </c>
      <c r="B659" s="10">
        <v>0.5131944444444444</v>
      </c>
      <c r="C659" s="10">
        <v>0.52013888888888893</v>
      </c>
      <c r="D659" s="5">
        <f>C659-B659</f>
        <v>6.9444444444445308E-3</v>
      </c>
      <c r="E659" s="6" t="s">
        <v>31</v>
      </c>
      <c r="F659" s="7" t="s">
        <v>18</v>
      </c>
      <c r="G659" s="7" t="str">
        <f>IF(F659="P1","Normal activity",IF(F659="P2","Clustering / aggregation",IF(F659="P3","Agitation",IF(F659="P4","Lethargy",IF(F659="P5","Jumping / splashing",IF(F659="P6","Reactivity to noise"))))))</f>
        <v>Lethargy</v>
      </c>
      <c r="H659" s="7" t="str">
        <f>IF(F659="P1","Regular swimming, even distribution",IF(F659="P2","Fish grouped in one corner",IF(F659="P3","Rapid swimming, escape behavior",IF(F659="P4","Little movement",IF(F659="P5","Jumping out of the water",IF(F659="P6","Reaction to a tool or impact"))))))</f>
        <v>Little movement</v>
      </c>
      <c r="I659" s="6" t="s">
        <v>421</v>
      </c>
    </row>
    <row r="660" spans="1:9" x14ac:dyDescent="0.35">
      <c r="A660" s="4">
        <v>46184</v>
      </c>
      <c r="B660" s="10">
        <v>0.57013888888888886</v>
      </c>
      <c r="C660" s="10">
        <v>0.57708333333333328</v>
      </c>
      <c r="D660" s="5">
        <f>C660-B660</f>
        <v>6.9444444444444198E-3</v>
      </c>
      <c r="E660" s="6" t="s">
        <v>27</v>
      </c>
      <c r="F660" s="7" t="s">
        <v>12</v>
      </c>
      <c r="G660" s="7" t="str">
        <f>IF(F660="P1","Normal activity",IF(F660="P2","Clustering / aggregation",IF(F660="P3","Agitation",IF(F660="P4","Lethargy",IF(F660="P5","Jumping / splashing",IF(F660="P6","Reactivity to noise"))))))</f>
        <v>Clustering / aggregation</v>
      </c>
      <c r="H660" s="7" t="str">
        <f>IF(F660="P1","Regular swimming, even distribution",IF(F660="P2","Fish grouped in one corner",IF(F660="P3","Rapid swimming, escape behavior",IF(F660="P4","Little movement",IF(F660="P5","Jumping out of the water",IF(F660="P6","Reaction to a tool or impact"))))))</f>
        <v>Fish grouped in one corner</v>
      </c>
      <c r="I660" s="6" t="s">
        <v>341</v>
      </c>
    </row>
    <row r="661" spans="1:9" x14ac:dyDescent="0.35">
      <c r="A661" s="4">
        <v>46184</v>
      </c>
      <c r="B661" s="10">
        <v>0.57013888888888886</v>
      </c>
      <c r="C661" s="10">
        <v>0.57708333333333328</v>
      </c>
      <c r="D661" s="5">
        <f>C661-B661</f>
        <v>6.9444444444444198E-3</v>
      </c>
      <c r="E661" s="6" t="s">
        <v>28</v>
      </c>
      <c r="F661" s="7" t="s">
        <v>15</v>
      </c>
      <c r="G661" s="7" t="str">
        <f>IF(F661="P1","Normal activity",IF(F661="P2","Clustering / aggregation",IF(F661="P3","Agitation",IF(F661="P4","Lethargy",IF(F661="P5","Jumping / splashing",IF(F661="P6","Reactivity to noise"))))))</f>
        <v>Agitation</v>
      </c>
      <c r="H661" s="7" t="str">
        <f>IF(F661="P1","Regular swimming, even distribution",IF(F661="P2","Fish grouped in one corner",IF(F661="P3","Rapid swimming, escape behavior",IF(F661="P4","Little movement",IF(F661="P5","Jumping out of the water",IF(F661="P6","Reaction to a tool or impact"))))))</f>
        <v>Rapid swimming, escape behavior</v>
      </c>
      <c r="I661" s="6" t="s">
        <v>457</v>
      </c>
    </row>
    <row r="662" spans="1:9" x14ac:dyDescent="0.35">
      <c r="A662" s="4">
        <v>46184</v>
      </c>
      <c r="B662" s="10">
        <v>0.57013888888888886</v>
      </c>
      <c r="C662" s="10">
        <v>0.57708333333333328</v>
      </c>
      <c r="D662" s="5">
        <f>C662-B662</f>
        <v>6.9444444444444198E-3</v>
      </c>
      <c r="E662" s="6" t="s">
        <v>28</v>
      </c>
      <c r="F662" s="7" t="s">
        <v>12</v>
      </c>
      <c r="G662" s="7" t="str">
        <f>IF(F662="P1","Normal activity",IF(F662="P2","Clustering / aggregation",IF(F662="P3","Agitation",IF(F662="P4","Lethargy",IF(F662="P5","Jumping / splashing",IF(F662="P6","Reactivity to noise"))))))</f>
        <v>Clustering / aggregation</v>
      </c>
      <c r="H662" s="7" t="str">
        <f>IF(F662="P1","Regular swimming, even distribution",IF(F662="P2","Fish grouped in one corner",IF(F662="P3","Rapid swimming, escape behavior",IF(F662="P4","Little movement",IF(F662="P5","Jumping out of the water",IF(F662="P6","Reaction to a tool or impact"))))))</f>
        <v>Fish grouped in one corner</v>
      </c>
      <c r="I662" s="6" t="s">
        <v>341</v>
      </c>
    </row>
    <row r="663" spans="1:9" x14ac:dyDescent="0.35">
      <c r="A663" s="4">
        <v>46184</v>
      </c>
      <c r="B663" s="10">
        <v>0.57013888888888886</v>
      </c>
      <c r="C663" s="10">
        <v>0.57708333333333328</v>
      </c>
      <c r="D663" s="5">
        <f>C663-B663</f>
        <v>6.9444444444444198E-3</v>
      </c>
      <c r="E663" s="6" t="s">
        <v>28</v>
      </c>
      <c r="F663" s="7" t="s">
        <v>9</v>
      </c>
      <c r="G663" s="7" t="str">
        <f>IF(F663="P1","Normal activity",IF(F663="P2","Clustering / aggregation",IF(F663="P3","Agitation",IF(F663="P4","Lethargy",IF(F663="P5","Jumping / splashing",IF(F663="P6","Reactivity to noise"))))))</f>
        <v>Normal activity</v>
      </c>
      <c r="H663" s="7" t="str">
        <f>IF(F663="P1","Regular swimming, even distribution",IF(F663="P2","Fish grouped in one corner",IF(F663="P3","Rapid swimming, escape behavior",IF(F663="P4","Little movement",IF(F663="P5","Jumping out of the water",IF(F663="P6","Reaction to a tool or impact"))))))</f>
        <v>Regular swimming, even distribution</v>
      </c>
      <c r="I663" s="6" t="s">
        <v>458</v>
      </c>
    </row>
    <row r="664" spans="1:9" x14ac:dyDescent="0.35">
      <c r="A664" s="4">
        <v>46184</v>
      </c>
      <c r="B664" s="10">
        <v>0.57013888888888886</v>
      </c>
      <c r="C664" s="10">
        <v>0.57708333333333328</v>
      </c>
      <c r="D664" s="5">
        <f>C664-B664</f>
        <v>6.9444444444444198E-3</v>
      </c>
      <c r="E664" s="6" t="s">
        <v>29</v>
      </c>
      <c r="F664" s="7" t="s">
        <v>12</v>
      </c>
      <c r="G664" s="7" t="str">
        <f>IF(F664="P1","Normal activity",IF(F664="P2","Clustering / aggregation",IF(F664="P3","Agitation",IF(F664="P4","Lethargy",IF(F664="P5","Jumping / splashing",IF(F664="P6","Reactivity to noise"))))))</f>
        <v>Clustering / aggregation</v>
      </c>
      <c r="H664" s="7" t="str">
        <f>IF(F664="P1","Regular swimming, even distribution",IF(F664="P2","Fish grouped in one corner",IF(F664="P3","Rapid swimming, escape behavior",IF(F664="P4","Little movement",IF(F664="P5","Jumping out of the water",IF(F664="P6","Reaction to a tool or impact"))))))</f>
        <v>Fish grouped in one corner</v>
      </c>
      <c r="I664" s="6" t="s">
        <v>341</v>
      </c>
    </row>
    <row r="665" spans="1:9" x14ac:dyDescent="0.35">
      <c r="A665" s="4">
        <v>46184</v>
      </c>
      <c r="B665" s="10">
        <v>0.57013888888888886</v>
      </c>
      <c r="C665" s="10">
        <v>0.57708333333333328</v>
      </c>
      <c r="D665" s="5">
        <f>C665-B665</f>
        <v>6.9444444444444198E-3</v>
      </c>
      <c r="E665" s="6" t="s">
        <v>29</v>
      </c>
      <c r="F665" s="7" t="s">
        <v>9</v>
      </c>
      <c r="G665" s="7" t="str">
        <f>IF(F665="P1","Normal activity",IF(F665="P2","Clustering / aggregation",IF(F665="P3","Agitation",IF(F665="P4","Lethargy",IF(F665="P5","Jumping / splashing",IF(F665="P6","Reactivity to noise"))))))</f>
        <v>Normal activity</v>
      </c>
      <c r="H665" s="7" t="str">
        <f>IF(F665="P1","Regular swimming, even distribution",IF(F665="P2","Fish grouped in one corner",IF(F665="P3","Rapid swimming, escape behavior",IF(F665="P4","Little movement",IF(F665="P5","Jumping out of the water",IF(F665="P6","Reaction to a tool or impact"))))))</f>
        <v>Regular swimming, even distribution</v>
      </c>
      <c r="I665" s="6" t="s">
        <v>459</v>
      </c>
    </row>
    <row r="666" spans="1:9" x14ac:dyDescent="0.35">
      <c r="A666" s="4">
        <v>46184</v>
      </c>
      <c r="B666" s="10">
        <v>0.57013888888888886</v>
      </c>
      <c r="C666" s="10">
        <v>0.57708333333333328</v>
      </c>
      <c r="D666" s="5">
        <f>C666-B666</f>
        <v>6.9444444444444198E-3</v>
      </c>
      <c r="E666" s="6" t="s">
        <v>29</v>
      </c>
      <c r="F666" s="7" t="s">
        <v>15</v>
      </c>
      <c r="G666" s="7" t="str">
        <f>IF(F666="P1","Normal activity",IF(F666="P2","Clustering / aggregation",IF(F666="P3","Agitation",IF(F666="P4","Lethargy",IF(F666="P5","Jumping / splashing",IF(F666="P6","Reactivity to noise"))))))</f>
        <v>Agitation</v>
      </c>
      <c r="H666" s="7" t="str">
        <f>IF(F666="P1","Regular swimming, even distribution",IF(F666="P2","Fish grouped in one corner",IF(F666="P3","Rapid swimming, escape behavior",IF(F666="P4","Little movement",IF(F666="P5","Jumping out of the water",IF(F666="P6","Reaction to a tool or impact"))))))</f>
        <v>Rapid swimming, escape behavior</v>
      </c>
      <c r="I666" s="6" t="s">
        <v>460</v>
      </c>
    </row>
    <row r="667" spans="1:9" x14ac:dyDescent="0.35">
      <c r="A667" s="4">
        <v>46184</v>
      </c>
      <c r="B667" s="10">
        <v>0.57013888888888886</v>
      </c>
      <c r="C667" s="10">
        <v>0.57708333333333328</v>
      </c>
      <c r="D667" s="5">
        <f>C667-B667</f>
        <v>6.9444444444444198E-3</v>
      </c>
      <c r="E667" s="6" t="s">
        <v>29</v>
      </c>
      <c r="F667" s="7" t="s">
        <v>15</v>
      </c>
      <c r="G667" s="7" t="str">
        <f>IF(F667="P1","Normal activity",IF(F667="P2","Clustering / aggregation",IF(F667="P3","Agitation",IF(F667="P4","Lethargy",IF(F667="P5","Jumping / splashing",IF(F667="P6","Reactivity to noise"))))))</f>
        <v>Agitation</v>
      </c>
      <c r="H667" s="7" t="str">
        <f>IF(F667="P1","Regular swimming, even distribution",IF(F667="P2","Fish grouped in one corner",IF(F667="P3","Rapid swimming, escape behavior",IF(F667="P4","Little movement",IF(F667="P5","Jumping out of the water",IF(F667="P6","Reaction to a tool or impact"))))))</f>
        <v>Rapid swimming, escape behavior</v>
      </c>
      <c r="I667" s="6" t="s">
        <v>461</v>
      </c>
    </row>
    <row r="668" spans="1:9" x14ac:dyDescent="0.35">
      <c r="A668" s="4">
        <v>46184</v>
      </c>
      <c r="B668" s="10">
        <v>0.57013888888888886</v>
      </c>
      <c r="C668" s="10">
        <v>0.57708333333333328</v>
      </c>
      <c r="D668" s="5">
        <f>C668-B668</f>
        <v>6.9444444444444198E-3</v>
      </c>
      <c r="E668" s="6" t="s">
        <v>31</v>
      </c>
      <c r="F668" s="7" t="s">
        <v>12</v>
      </c>
      <c r="G668" s="7" t="str">
        <f>IF(F668="P1","Normal activity",IF(F668="P2","Clustering / aggregation",IF(F668="P3","Agitation",IF(F668="P4","Lethargy",IF(F668="P5","Jumping / splashing",IF(F668="P6","Reactivity to noise"))))))</f>
        <v>Clustering / aggregation</v>
      </c>
      <c r="H668" s="7" t="str">
        <f>IF(F668="P1","Regular swimming, even distribution",IF(F668="P2","Fish grouped in one corner",IF(F668="P3","Rapid swimming, escape behavior",IF(F668="P4","Little movement",IF(F668="P5","Jumping out of the water",IF(F668="P6","Reaction to a tool or impact"))))))</f>
        <v>Fish grouped in one corner</v>
      </c>
      <c r="I668" s="6" t="s">
        <v>462</v>
      </c>
    </row>
    <row r="669" spans="1:9" x14ac:dyDescent="0.35">
      <c r="A669" s="4">
        <v>46184</v>
      </c>
      <c r="B669" s="10">
        <v>0.57013888888888886</v>
      </c>
      <c r="C669" s="10">
        <v>0.57708333333333328</v>
      </c>
      <c r="D669" s="5">
        <f>C669-B669</f>
        <v>6.9444444444444198E-3</v>
      </c>
      <c r="E669" s="6" t="s">
        <v>31</v>
      </c>
      <c r="F669" s="7" t="s">
        <v>9</v>
      </c>
      <c r="G669" s="7" t="str">
        <f>IF(F669="P1","Normal activity",IF(F669="P2","Clustering / aggregation",IF(F669="P3","Agitation",IF(F669="P4","Lethargy",IF(F669="P5","Jumping / splashing",IF(F669="P6","Reactivity to noise"))))))</f>
        <v>Normal activity</v>
      </c>
      <c r="H669" s="7" t="str">
        <f>IF(F669="P1","Regular swimming, even distribution",IF(F669="P2","Fish grouped in one corner",IF(F669="P3","Rapid swimming, escape behavior",IF(F669="P4","Little movement",IF(F669="P5","Jumping out of the water",IF(F669="P6","Reaction to a tool or impact"))))))</f>
        <v>Regular swimming, even distribution</v>
      </c>
      <c r="I669" s="6" t="s">
        <v>365</v>
      </c>
    </row>
    <row r="670" spans="1:9" x14ac:dyDescent="0.35">
      <c r="A670" s="4">
        <v>46184</v>
      </c>
      <c r="B670" s="10">
        <v>0.57013888888888886</v>
      </c>
      <c r="C670" s="10">
        <v>0.57708333333333328</v>
      </c>
      <c r="D670" s="5">
        <f>C670-B670</f>
        <v>6.9444444444444198E-3</v>
      </c>
      <c r="E670" s="6" t="s">
        <v>31</v>
      </c>
      <c r="F670" s="7" t="s">
        <v>18</v>
      </c>
      <c r="G670" s="7" t="str">
        <f>IF(F670="P1","Normal activity",IF(F670="P2","Clustering / aggregation",IF(F670="P3","Agitation",IF(F670="P4","Lethargy",IF(F670="P5","Jumping / splashing",IF(F670="P6","Reactivity to noise"))))))</f>
        <v>Lethargy</v>
      </c>
      <c r="H670" s="7" t="str">
        <f>IF(F670="P1","Regular swimming, even distribution",IF(F670="P2","Fish grouped in one corner",IF(F670="P3","Rapid swimming, escape behavior",IF(F670="P4","Little movement",IF(F670="P5","Jumping out of the water",IF(F670="P6","Reaction to a tool or impact"))))))</f>
        <v>Little movement</v>
      </c>
      <c r="I670" s="6" t="s">
        <v>463</v>
      </c>
    </row>
    <row r="671" spans="1:9" x14ac:dyDescent="0.35">
      <c r="A671" s="4">
        <v>46184</v>
      </c>
      <c r="B671" s="10">
        <v>0.57777777777777772</v>
      </c>
      <c r="C671" s="10">
        <v>0.58125000000000004</v>
      </c>
      <c r="D671" s="5">
        <f>C671-B671</f>
        <v>3.4722222222223209E-3</v>
      </c>
      <c r="E671" s="6"/>
      <c r="F671" s="7"/>
      <c r="G671" s="7" t="b">
        <f>IF(F671="P1","Normal activity",IF(F671="P2","Clustering / aggregation",IF(F671="P3","Agitation",IF(F671="P4","Lethargy",IF(F671="P5","Jumping / splashing",IF(F671="P6","Reactivity to noise"))))))</f>
        <v>0</v>
      </c>
      <c r="H671" s="7" t="b">
        <f>IF(F671="P1","Regular swimming, even distribution",IF(F671="P2","Fish grouped in one corner",IF(F671="P3","Rapid swimming, escape behavior",IF(F671="P4","Little movement",IF(F671="P5","Jumping out of the water",IF(F671="P6","Reaction to a tool or impact"))))))</f>
        <v>0</v>
      </c>
      <c r="I671" s="6" t="s">
        <v>355</v>
      </c>
    </row>
    <row r="672" spans="1:9" x14ac:dyDescent="0.35">
      <c r="A672" s="4">
        <v>46184</v>
      </c>
      <c r="B672" s="10">
        <v>0.58194444444444449</v>
      </c>
      <c r="C672" s="10">
        <v>0.58888888888888891</v>
      </c>
      <c r="D672" s="5">
        <f>C672-B672</f>
        <v>6.9444444444444198E-3</v>
      </c>
      <c r="E672" s="6" t="s">
        <v>27</v>
      </c>
      <c r="F672" s="7" t="s">
        <v>12</v>
      </c>
      <c r="G672" s="7" t="str">
        <f>IF(F672="P1","Normal activity",IF(F672="P2","Clustering / aggregation",IF(F672="P3","Agitation",IF(F672="P4","Lethargy",IF(F672="P5","Jumping / splashing",IF(F672="P6","Reactivity to noise"))))))</f>
        <v>Clustering / aggregation</v>
      </c>
      <c r="H672" s="7" t="str">
        <f>IF(F672="P1","Regular swimming, even distribution",IF(F672="P2","Fish grouped in one corner",IF(F672="P3","Rapid swimming, escape behavior",IF(F672="P4","Little movement",IF(F672="P5","Jumping out of the water",IF(F672="P6","Reaction to a tool or impact"))))))</f>
        <v>Fish grouped in one corner</v>
      </c>
      <c r="I672" s="6" t="s">
        <v>341</v>
      </c>
    </row>
    <row r="673" spans="1:9" x14ac:dyDescent="0.35">
      <c r="A673" s="4">
        <v>46184</v>
      </c>
      <c r="B673" s="10">
        <v>0.58194444444444449</v>
      </c>
      <c r="C673" s="10">
        <v>0.58888888888888891</v>
      </c>
      <c r="D673" s="5">
        <f>C673-B673</f>
        <v>6.9444444444444198E-3</v>
      </c>
      <c r="E673" s="6" t="s">
        <v>28</v>
      </c>
      <c r="F673" s="7" t="s">
        <v>15</v>
      </c>
      <c r="G673" s="7" t="str">
        <f>IF(F673="P1","Normal activity",IF(F673="P2","Clustering / aggregation",IF(F673="P3","Agitation",IF(F673="P4","Lethargy",IF(F673="P5","Jumping / splashing",IF(F673="P6","Reactivity to noise"))))))</f>
        <v>Agitation</v>
      </c>
      <c r="H673" s="7" t="str">
        <f>IF(F673="P1","Regular swimming, even distribution",IF(F673="P2","Fish grouped in one corner",IF(F673="P3","Rapid swimming, escape behavior",IF(F673="P4","Little movement",IF(F673="P5","Jumping out of the water",IF(F673="P6","Reaction to a tool or impact"))))))</f>
        <v>Rapid swimming, escape behavior</v>
      </c>
      <c r="I673" s="6" t="s">
        <v>464</v>
      </c>
    </row>
    <row r="674" spans="1:9" x14ac:dyDescent="0.35">
      <c r="A674" s="4">
        <v>46184</v>
      </c>
      <c r="B674" s="10">
        <v>0.58194444444444449</v>
      </c>
      <c r="C674" s="10">
        <v>0.58888888888888891</v>
      </c>
      <c r="D674" s="5">
        <f>C674-B674</f>
        <v>6.9444444444444198E-3</v>
      </c>
      <c r="E674" s="6" t="s">
        <v>28</v>
      </c>
      <c r="F674" s="7" t="s">
        <v>12</v>
      </c>
      <c r="G674" s="7" t="str">
        <f>IF(F674="P1","Normal activity",IF(F674="P2","Clustering / aggregation",IF(F674="P3","Agitation",IF(F674="P4","Lethargy",IF(F674="P5","Jumping / splashing",IF(F674="P6","Reactivity to noise"))))))</f>
        <v>Clustering / aggregation</v>
      </c>
      <c r="H674" s="7" t="str">
        <f>IF(F674="P1","Regular swimming, even distribution",IF(F674="P2","Fish grouped in one corner",IF(F674="P3","Rapid swimming, escape behavior",IF(F674="P4","Little movement",IF(F674="P5","Jumping out of the water",IF(F674="P6","Reaction to a tool or impact"))))))</f>
        <v>Fish grouped in one corner</v>
      </c>
      <c r="I674" s="6" t="s">
        <v>465</v>
      </c>
    </row>
    <row r="675" spans="1:9" x14ac:dyDescent="0.35">
      <c r="A675" s="4">
        <v>46184</v>
      </c>
      <c r="B675" s="10">
        <v>0.58194444444444449</v>
      </c>
      <c r="C675" s="10">
        <v>0.58888888888888891</v>
      </c>
      <c r="D675" s="5">
        <f>C675-B675</f>
        <v>6.9444444444444198E-3</v>
      </c>
      <c r="E675" s="6" t="s">
        <v>28</v>
      </c>
      <c r="F675" s="7" t="s">
        <v>9</v>
      </c>
      <c r="G675" s="7" t="str">
        <f>IF(F675="P1","Normal activity",IF(F675="P2","Clustering / aggregation",IF(F675="P3","Agitation",IF(F675="P4","Lethargy",IF(F675="P5","Jumping / splashing",IF(F675="P6","Reactivity to noise"))))))</f>
        <v>Normal activity</v>
      </c>
      <c r="H675" s="7" t="str">
        <f>IF(F675="P1","Regular swimming, even distribution",IF(F675="P2","Fish grouped in one corner",IF(F675="P3","Rapid swimming, escape behavior",IF(F675="P4","Little movement",IF(F675="P5","Jumping out of the water",IF(F675="P6","Reaction to a tool or impact"))))))</f>
        <v>Regular swimming, even distribution</v>
      </c>
      <c r="I675" s="6" t="s">
        <v>416</v>
      </c>
    </row>
    <row r="676" spans="1:9" x14ac:dyDescent="0.35">
      <c r="A676" s="4">
        <v>46184</v>
      </c>
      <c r="B676" s="10">
        <v>0.58194444444444449</v>
      </c>
      <c r="C676" s="10">
        <v>0.58888888888888891</v>
      </c>
      <c r="D676" s="5">
        <f>C676-B676</f>
        <v>6.9444444444444198E-3</v>
      </c>
      <c r="E676" s="6" t="s">
        <v>29</v>
      </c>
      <c r="F676" s="7" t="s">
        <v>9</v>
      </c>
      <c r="G676" s="7" t="str">
        <f>IF(F676="P1","Normal activity",IF(F676="P2","Clustering / aggregation",IF(F676="P3","Agitation",IF(F676="P4","Lethargy",IF(F676="P5","Jumping / splashing",IF(F676="P6","Reactivity to noise"))))))</f>
        <v>Normal activity</v>
      </c>
      <c r="H676" s="7" t="str">
        <f>IF(F676="P1","Regular swimming, even distribution",IF(F676="P2","Fish grouped in one corner",IF(F676="P3","Rapid swimming, escape behavior",IF(F676="P4","Little movement",IF(F676="P5","Jumping out of the water",IF(F676="P6","Reaction to a tool or impact"))))))</f>
        <v>Regular swimming, even distribution</v>
      </c>
      <c r="I676" s="6" t="s">
        <v>466</v>
      </c>
    </row>
    <row r="677" spans="1:9" x14ac:dyDescent="0.35">
      <c r="A677" s="4">
        <v>46184</v>
      </c>
      <c r="B677" s="10">
        <v>0.58194444444444449</v>
      </c>
      <c r="C677" s="10">
        <v>0.58888888888888891</v>
      </c>
      <c r="D677" s="5">
        <f>C677-B677</f>
        <v>6.9444444444444198E-3</v>
      </c>
      <c r="E677" s="6" t="s">
        <v>29</v>
      </c>
      <c r="F677" s="7" t="s">
        <v>15</v>
      </c>
      <c r="G677" s="7" t="str">
        <f>IF(F677="P1","Normal activity",IF(F677="P2","Clustering / aggregation",IF(F677="P3","Agitation",IF(F677="P4","Lethargy",IF(F677="P5","Jumping / splashing",IF(F677="P6","Reactivity to noise"))))))</f>
        <v>Agitation</v>
      </c>
      <c r="H677" s="7" t="str">
        <f>IF(F677="P1","Regular swimming, even distribution",IF(F677="P2","Fish grouped in one corner",IF(F677="P3","Rapid swimming, escape behavior",IF(F677="P4","Little movement",IF(F677="P5","Jumping out of the water",IF(F677="P6","Reaction to a tool or impact"))))))</f>
        <v>Rapid swimming, escape behavior</v>
      </c>
      <c r="I677" s="6" t="s">
        <v>467</v>
      </c>
    </row>
    <row r="678" spans="1:9" x14ac:dyDescent="0.35">
      <c r="A678" s="4">
        <v>46184</v>
      </c>
      <c r="B678" s="10">
        <v>0.58194444444444449</v>
      </c>
      <c r="C678" s="10">
        <v>0.58888888888888891</v>
      </c>
      <c r="D678" s="5">
        <f>C678-B678</f>
        <v>6.9444444444444198E-3</v>
      </c>
      <c r="E678" s="6" t="s">
        <v>29</v>
      </c>
      <c r="F678" s="7" t="s">
        <v>15</v>
      </c>
      <c r="G678" s="7" t="str">
        <f>IF(F678="P1","Normal activity",IF(F678="P2","Clustering / aggregation",IF(F678="P3","Agitation",IF(F678="P4","Lethargy",IF(F678="P5","Jumping / splashing",IF(F678="P6","Reactivity to noise"))))))</f>
        <v>Agitation</v>
      </c>
      <c r="H678" s="7" t="str">
        <f>IF(F678="P1","Regular swimming, even distribution",IF(F678="P2","Fish grouped in one corner",IF(F678="P3","Rapid swimming, escape behavior",IF(F678="P4","Little movement",IF(F678="P5","Jumping out of the water",IF(F678="P6","Reaction to a tool or impact"))))))</f>
        <v>Rapid swimming, escape behavior</v>
      </c>
      <c r="I678" s="6" t="s">
        <v>468</v>
      </c>
    </row>
    <row r="679" spans="1:9" x14ac:dyDescent="0.35">
      <c r="A679" s="4">
        <v>46184</v>
      </c>
      <c r="B679" s="10">
        <v>0.58194444444444449</v>
      </c>
      <c r="C679" s="10">
        <v>0.58888888888888891</v>
      </c>
      <c r="D679" s="5">
        <f>C679-B679</f>
        <v>6.9444444444444198E-3</v>
      </c>
      <c r="E679" s="6" t="s">
        <v>29</v>
      </c>
      <c r="F679" s="7" t="s">
        <v>15</v>
      </c>
      <c r="G679" s="7" t="str">
        <f>IF(F679="P1","Normal activity",IF(F679="P2","Clustering / aggregation",IF(F679="P3","Agitation",IF(F679="P4","Lethargy",IF(F679="P5","Jumping / splashing",IF(F679="P6","Reactivity to noise"))))))</f>
        <v>Agitation</v>
      </c>
      <c r="H679" s="7" t="str">
        <f>IF(F679="P1","Regular swimming, even distribution",IF(F679="P2","Fish grouped in one corner",IF(F679="P3","Rapid swimming, escape behavior",IF(F679="P4","Little movement",IF(F679="P5","Jumping out of the water",IF(F679="P6","Reaction to a tool or impact"))))))</f>
        <v>Rapid swimming, escape behavior</v>
      </c>
      <c r="I679" s="6" t="s">
        <v>469</v>
      </c>
    </row>
    <row r="680" spans="1:9" x14ac:dyDescent="0.35">
      <c r="A680" s="4">
        <v>46184</v>
      </c>
      <c r="B680" s="10">
        <v>0.58194444444444449</v>
      </c>
      <c r="C680" s="10">
        <v>0.58888888888888891</v>
      </c>
      <c r="D680" s="5">
        <f>C680-B680</f>
        <v>6.9444444444444198E-3</v>
      </c>
      <c r="E680" s="6" t="s">
        <v>31</v>
      </c>
      <c r="F680" s="7" t="s">
        <v>12</v>
      </c>
      <c r="G680" s="7" t="str">
        <f>IF(F680="P1","Normal activity",IF(F680="P2","Clustering / aggregation",IF(F680="P3","Agitation",IF(F680="P4","Lethargy",IF(F680="P5","Jumping / splashing",IF(F680="P6","Reactivity to noise"))))))</f>
        <v>Clustering / aggregation</v>
      </c>
      <c r="H680" s="7" t="str">
        <f>IF(F680="P1","Regular swimming, even distribution",IF(F680="P2","Fish grouped in one corner",IF(F680="P3","Rapid swimming, escape behavior",IF(F680="P4","Little movement",IF(F680="P5","Jumping out of the water",IF(F680="P6","Reaction to a tool or impact"))))))</f>
        <v>Fish grouped in one corner</v>
      </c>
      <c r="I680" s="6" t="s">
        <v>415</v>
      </c>
    </row>
    <row r="681" spans="1:9" x14ac:dyDescent="0.35">
      <c r="A681" s="4">
        <v>46184</v>
      </c>
      <c r="B681" s="10">
        <v>0.58194444444444449</v>
      </c>
      <c r="C681" s="10">
        <v>0.58888888888888891</v>
      </c>
      <c r="D681" s="5">
        <f>C681-B681</f>
        <v>6.9444444444444198E-3</v>
      </c>
      <c r="E681" s="6" t="s">
        <v>31</v>
      </c>
      <c r="F681" s="7" t="s">
        <v>9</v>
      </c>
      <c r="G681" s="7" t="str">
        <f>IF(F681="P1","Normal activity",IF(F681="P2","Clustering / aggregation",IF(F681="P3","Agitation",IF(F681="P4","Lethargy",IF(F681="P5","Jumping / splashing",IF(F681="P6","Reactivity to noise"))))))</f>
        <v>Normal activity</v>
      </c>
      <c r="H681" s="7" t="str">
        <f>IF(F681="P1","Regular swimming, even distribution",IF(F681="P2","Fish grouped in one corner",IF(F681="P3","Rapid swimming, escape behavior",IF(F681="P4","Little movement",IF(F681="P5","Jumping out of the water",IF(F681="P6","Reaction to a tool or impact"))))))</f>
        <v>Regular swimming, even distribution</v>
      </c>
      <c r="I681" s="6" t="s">
        <v>470</v>
      </c>
    </row>
    <row r="682" spans="1:9" x14ac:dyDescent="0.35">
      <c r="A682" s="4">
        <v>46184</v>
      </c>
      <c r="B682" s="10">
        <v>0.58194444444444449</v>
      </c>
      <c r="C682" s="10">
        <v>0.58888888888888891</v>
      </c>
      <c r="D682" s="5">
        <f>C682-B682</f>
        <v>6.9444444444444198E-3</v>
      </c>
      <c r="E682" s="6" t="s">
        <v>31</v>
      </c>
      <c r="F682" s="7" t="s">
        <v>15</v>
      </c>
      <c r="G682" s="7" t="str">
        <f>IF(F682="P1","Normal activity",IF(F682="P2","Clustering / aggregation",IF(F682="P3","Agitation",IF(F682="P4","Lethargy",IF(F682="P5","Jumping / splashing",IF(F682="P6","Reactivity to noise"))))))</f>
        <v>Agitation</v>
      </c>
      <c r="H682" s="7" t="str">
        <f>IF(F682="P1","Regular swimming, even distribution",IF(F682="P2","Fish grouped in one corner",IF(F682="P3","Rapid swimming, escape behavior",IF(F682="P4","Little movement",IF(F682="P5","Jumping out of the water",IF(F682="P6","Reaction to a tool or impact"))))))</f>
        <v>Rapid swimming, escape behavior</v>
      </c>
      <c r="I682" s="6" t="s">
        <v>471</v>
      </c>
    </row>
    <row r="683" spans="1:9" x14ac:dyDescent="0.35">
      <c r="A683" s="4">
        <v>46184</v>
      </c>
      <c r="B683" s="10">
        <v>0.58194444444444449</v>
      </c>
      <c r="C683" s="10">
        <v>0.58888888888888891</v>
      </c>
      <c r="D683" s="5">
        <f>C683-B683</f>
        <v>6.9444444444444198E-3</v>
      </c>
      <c r="E683" s="6" t="s">
        <v>31</v>
      </c>
      <c r="F683" s="7" t="s">
        <v>18</v>
      </c>
      <c r="G683" s="7" t="str">
        <f>IF(F683="P1","Normal activity",IF(F683="P2","Clustering / aggregation",IF(F683="P3","Agitation",IF(F683="P4","Lethargy",IF(F683="P5","Jumping / splashing",IF(F683="P6","Reactivity to noise"))))))</f>
        <v>Lethargy</v>
      </c>
      <c r="H683" s="7" t="str">
        <f>IF(F683="P1","Regular swimming, even distribution",IF(F683="P2","Fish grouped in one corner",IF(F683="P3","Rapid swimming, escape behavior",IF(F683="P4","Little movement",IF(F683="P5","Jumping out of the water",IF(F683="P6","Reaction to a tool or impact"))))))</f>
        <v>Little movement</v>
      </c>
      <c r="I683" s="6" t="s">
        <v>421</v>
      </c>
    </row>
    <row r="684" spans="1:9" x14ac:dyDescent="0.35">
      <c r="A684" s="4">
        <v>46184</v>
      </c>
      <c r="B684" s="10">
        <v>0.58194444444444449</v>
      </c>
      <c r="C684" s="10">
        <v>0.58888888888888891</v>
      </c>
      <c r="D684" s="5">
        <f>C684-B684</f>
        <v>6.9444444444444198E-3</v>
      </c>
      <c r="E684" s="6" t="s">
        <v>31</v>
      </c>
      <c r="F684" s="7" t="s">
        <v>15</v>
      </c>
      <c r="G684" s="7" t="str">
        <f>IF(F684="P1","Normal activity",IF(F684="P2","Clustering / aggregation",IF(F684="P3","Agitation",IF(F684="P4","Lethargy",IF(F684="P5","Jumping / splashing",IF(F684="P6","Reactivity to noise"))))))</f>
        <v>Agitation</v>
      </c>
      <c r="H684" s="7" t="str">
        <f>IF(F684="P1","Regular swimming, even distribution",IF(F684="P2","Fish grouped in one corner",IF(F684="P3","Rapid swimming, escape behavior",IF(F684="P4","Little movement",IF(F684="P5","Jumping out of the water",IF(F684="P6","Reaction to a tool or impact"))))))</f>
        <v>Rapid swimming, escape behavior</v>
      </c>
      <c r="I684" s="6" t="s">
        <v>472</v>
      </c>
    </row>
    <row r="685" spans="1:9" x14ac:dyDescent="0.35">
      <c r="A685" s="13">
        <v>46194</v>
      </c>
      <c r="B685" s="10">
        <v>0.3888888888888889</v>
      </c>
      <c r="C685" s="10">
        <v>0.39583333333333331</v>
      </c>
      <c r="D685" s="5">
        <f>C685-B685</f>
        <v>6.9444444444444198E-3</v>
      </c>
      <c r="E685" s="6" t="s">
        <v>27</v>
      </c>
      <c r="F685" s="7" t="s">
        <v>9</v>
      </c>
      <c r="G685" s="7" t="str">
        <f>IF(F685="P1","Normal activity",IF(F685="P2","Clustering / aggregation",IF(F685="P3","Agitation",IF(F685="P4","Lethargy",IF(F685="P5","Jumping / splashing",IF(F685="P6","Reactivity to noise"))))))</f>
        <v>Normal activity</v>
      </c>
      <c r="H685" s="7" t="str">
        <f>IF(F685="P1","Regular swimming, even distribution",IF(F685="P2","Fish grouped in one corner",IF(F685="P3","Rapid swimming, escape behavior",IF(F685="P4","Little movement",IF(F685="P5","Jumping out of the water",IF(F685="P6","Reaction to a tool or impact"))))))</f>
        <v>Regular swimming, even distribution</v>
      </c>
      <c r="I685" s="6"/>
    </row>
    <row r="686" spans="1:9" x14ac:dyDescent="0.35">
      <c r="A686" s="13">
        <v>46194</v>
      </c>
      <c r="B686" s="10">
        <v>0.3888888888888889</v>
      </c>
      <c r="C686" s="10">
        <v>0.39583333333333331</v>
      </c>
      <c r="D686" s="5">
        <f>C686-B686</f>
        <v>6.9444444444444198E-3</v>
      </c>
      <c r="E686" s="6" t="s">
        <v>27</v>
      </c>
      <c r="F686" s="7" t="s">
        <v>12</v>
      </c>
      <c r="G686" s="7" t="str">
        <f>IF(F686="P1","Normal activity",IF(F686="P2","Clustering / aggregation",IF(F686="P3","Agitation",IF(F686="P4","Lethargy",IF(F686="P5","Jumping / splashing",IF(F686="P6","Reactivity to noise"))))))</f>
        <v>Clustering / aggregation</v>
      </c>
      <c r="H686" s="7" t="str">
        <f>IF(F686="P1","Regular swimming, even distribution",IF(F686="P2","Fish grouped in one corner",IF(F686="P3","Rapid swimming, escape behavior",IF(F686="P4","Little movement",IF(F686="P5","Jumping out of the water",IF(F686="P6","Reaction to a tool or impact"))))))</f>
        <v>Fish grouped in one corner</v>
      </c>
      <c r="I686" s="6" t="s">
        <v>473</v>
      </c>
    </row>
    <row r="687" spans="1:9" x14ac:dyDescent="0.35">
      <c r="A687" s="13">
        <v>46194</v>
      </c>
      <c r="B687" s="10">
        <v>0.3888888888888889</v>
      </c>
      <c r="C687" s="10">
        <v>0.39583333333333331</v>
      </c>
      <c r="D687" s="5">
        <f>C687-B687</f>
        <v>6.9444444444444198E-3</v>
      </c>
      <c r="E687" s="6" t="s">
        <v>28</v>
      </c>
      <c r="F687" s="7" t="s">
        <v>9</v>
      </c>
      <c r="G687" s="7" t="str">
        <f>IF(F687="P1","Normal activity",IF(F687="P2","Clustering / aggregation",IF(F687="P3","Agitation",IF(F687="P4","Lethargy",IF(F687="P5","Jumping / splashing",IF(F687="P6","Reactivity to noise"))))))</f>
        <v>Normal activity</v>
      </c>
      <c r="H687" s="7" t="str">
        <f>IF(F687="P1","Regular swimming, even distribution",IF(F687="P2","Fish grouped in one corner",IF(F687="P3","Rapid swimming, escape behavior",IF(F687="P4","Little movement",IF(F687="P5","Jumping out of the water",IF(F687="P6","Reaction to a tool or impact"))))))</f>
        <v>Regular swimming, even distribution</v>
      </c>
      <c r="I687" s="6" t="s">
        <v>474</v>
      </c>
    </row>
    <row r="688" spans="1:9" x14ac:dyDescent="0.35">
      <c r="A688" s="13">
        <v>46194</v>
      </c>
      <c r="B688" s="10">
        <v>0.3888888888888889</v>
      </c>
      <c r="C688" s="10">
        <v>0.39583333333333331</v>
      </c>
      <c r="D688" s="5">
        <f>C688-B688</f>
        <v>6.9444444444444198E-3</v>
      </c>
      <c r="E688" s="6" t="s">
        <v>29</v>
      </c>
      <c r="F688" s="7" t="s">
        <v>9</v>
      </c>
      <c r="G688" s="7" t="str">
        <f>IF(F688="P1","Normal activity",IF(F688="P2","Clustering / aggregation",IF(F688="P3","Agitation",IF(F688="P4","Lethargy",IF(F688="P5","Jumping / splashing",IF(F688="P6","Reactivity to noise"))))))</f>
        <v>Normal activity</v>
      </c>
      <c r="H688" s="7" t="str">
        <f>IF(F688="P1","Regular swimming, even distribution",IF(F688="P2","Fish grouped in one corner",IF(F688="P3","Rapid swimming, escape behavior",IF(F688="P4","Little movement",IF(F688="P5","Jumping out of the water",IF(F688="P6","Reaction to a tool or impact"))))))</f>
        <v>Regular swimming, even distribution</v>
      </c>
      <c r="I688" s="6" t="s">
        <v>474</v>
      </c>
    </row>
    <row r="689" spans="1:9" x14ac:dyDescent="0.35">
      <c r="A689" s="13">
        <v>46194</v>
      </c>
      <c r="B689" s="10">
        <v>0.3888888888888889</v>
      </c>
      <c r="C689" s="10">
        <v>0.39583333333333331</v>
      </c>
      <c r="D689" s="5">
        <f>C689-B689</f>
        <v>6.9444444444444198E-3</v>
      </c>
      <c r="E689" s="6" t="s">
        <v>31</v>
      </c>
      <c r="F689" s="7" t="s">
        <v>9</v>
      </c>
      <c r="G689" s="7" t="str">
        <f>IF(F689="P1","Normal activity",IF(F689="P2","Clustering / aggregation",IF(F689="P3","Agitation",IF(F689="P4","Lethargy",IF(F689="P5","Jumping / splashing",IF(F689="P6","Reactivity to noise"))))))</f>
        <v>Normal activity</v>
      </c>
      <c r="H689" s="7" t="str">
        <f>IF(F689="P1","Regular swimming, even distribution",IF(F689="P2","Fish grouped in one corner",IF(F689="P3","Rapid swimming, escape behavior",IF(F689="P4","Little movement",IF(F689="P5","Jumping out of the water",IF(F689="P6","Reaction to a tool or impact"))))))</f>
        <v>Regular swimming, even distribution</v>
      </c>
      <c r="I689" s="6" t="s">
        <v>81</v>
      </c>
    </row>
    <row r="690" spans="1:9" x14ac:dyDescent="0.35">
      <c r="A690" s="13">
        <v>46194</v>
      </c>
      <c r="B690" s="10">
        <v>0.39583333333333331</v>
      </c>
      <c r="C690" s="10">
        <v>0.39930555555555558</v>
      </c>
      <c r="D690" s="5">
        <f>C690-B690</f>
        <v>3.4722222222222654E-3</v>
      </c>
      <c r="E690" s="6"/>
      <c r="F690" s="7"/>
      <c r="G690" s="7" t="b">
        <f>IF(F690="P1","Normal activity",IF(F690="P2","Clustering / aggregation",IF(F690="P3","Agitation",IF(F690="P4","Lethargy",IF(F690="P5","Jumping / splashing",IF(F690="P6","Reactivity to noise"))))))</f>
        <v>0</v>
      </c>
      <c r="H690" s="7" t="b">
        <f>IF(F690="P1","Regular swimming, even distribution",IF(F690="P2","Fish grouped in one corner",IF(F690="P3","Rapid swimming, escape behavior",IF(F690="P4","Little movement",IF(F690="P5","Jumping out of the water",IF(F690="P6","Reaction to a tool or impact"))))))</f>
        <v>0</v>
      </c>
      <c r="I690" s="6" t="s">
        <v>40</v>
      </c>
    </row>
    <row r="691" spans="1:9" x14ac:dyDescent="0.35">
      <c r="A691" s="13">
        <v>46194</v>
      </c>
      <c r="B691" s="10">
        <v>0.39930555555555558</v>
      </c>
      <c r="C691" s="10">
        <v>0.40625</v>
      </c>
      <c r="D691" s="5">
        <f>C691-B691</f>
        <v>6.9444444444444198E-3</v>
      </c>
      <c r="E691" s="6" t="s">
        <v>27</v>
      </c>
      <c r="F691" s="7" t="s">
        <v>15</v>
      </c>
      <c r="G691" s="7" t="str">
        <f>IF(F691="P1","Normal activity",IF(F691="P2","Clustering / aggregation",IF(F691="P3","Agitation",IF(F691="P4","Lethargy",IF(F691="P5","Jumping / splashing",IF(F691="P6","Reactivity to noise"))))))</f>
        <v>Agitation</v>
      </c>
      <c r="H691" s="7" t="str">
        <f>IF(F691="P1","Regular swimming, even distribution",IF(F691="P2","Fish grouped in one corner",IF(F691="P3","Rapid swimming, escape behavior",IF(F691="P4","Little movement",IF(F691="P5","Jumping out of the water",IF(F691="P6","Reaction to a tool or impact"))))))</f>
        <v>Rapid swimming, escape behavior</v>
      </c>
      <c r="I691" s="6" t="s">
        <v>475</v>
      </c>
    </row>
    <row r="692" spans="1:9" x14ac:dyDescent="0.35">
      <c r="A692" s="13">
        <v>46194</v>
      </c>
      <c r="B692" s="10">
        <v>0.39930555555555558</v>
      </c>
      <c r="C692" s="10">
        <v>0.40625</v>
      </c>
      <c r="D692" s="5">
        <f>C692-B692</f>
        <v>6.9444444444444198E-3</v>
      </c>
      <c r="E692" s="6" t="s">
        <v>28</v>
      </c>
      <c r="F692" s="7" t="s">
        <v>15</v>
      </c>
      <c r="G692" s="7" t="str">
        <f>IF(F692="P1","Normal activity",IF(F692="P2","Clustering / aggregation",IF(F692="P3","Agitation",IF(F692="P4","Lethargy",IF(F692="P5","Jumping / splashing",IF(F692="P6","Reactivity to noise"))))))</f>
        <v>Agitation</v>
      </c>
      <c r="H692" s="7" t="str">
        <f>IF(F692="P1","Regular swimming, even distribution",IF(F692="P2","Fish grouped in one corner",IF(F692="P3","Rapid swimming, escape behavior",IF(F692="P4","Little movement",IF(F692="P5","Jumping out of the water",IF(F692="P6","Reaction to a tool or impact"))))))</f>
        <v>Rapid swimming, escape behavior</v>
      </c>
      <c r="I692" s="6" t="s">
        <v>476</v>
      </c>
    </row>
    <row r="693" spans="1:9" x14ac:dyDescent="0.35">
      <c r="A693" s="13">
        <v>46194</v>
      </c>
      <c r="B693" s="10">
        <v>0.39930555555555558</v>
      </c>
      <c r="C693" s="10">
        <v>0.40625</v>
      </c>
      <c r="D693" s="5">
        <f>C693-B693</f>
        <v>6.9444444444444198E-3</v>
      </c>
      <c r="E693" s="6" t="s">
        <v>29</v>
      </c>
      <c r="F693" s="7" t="s">
        <v>15</v>
      </c>
      <c r="G693" s="7" t="str">
        <f>IF(F693="P1","Normal activity",IF(F693="P2","Clustering / aggregation",IF(F693="P3","Agitation",IF(F693="P4","Lethargy",IF(F693="P5","Jumping / splashing",IF(F693="P6","Reactivity to noise"))))))</f>
        <v>Agitation</v>
      </c>
      <c r="H693" s="7" t="str">
        <f>IF(F693="P1","Regular swimming, even distribution",IF(F693="P2","Fish grouped in one corner",IF(F693="P3","Rapid swimming, escape behavior",IF(F693="P4","Little movement",IF(F693="P5","Jumping out of the water",IF(F693="P6","Reaction to a tool or impact"))))))</f>
        <v>Rapid swimming, escape behavior</v>
      </c>
      <c r="I693" s="6" t="s">
        <v>477</v>
      </c>
    </row>
    <row r="694" spans="1:9" x14ac:dyDescent="0.35">
      <c r="A694" s="13">
        <v>46194</v>
      </c>
      <c r="B694" s="10">
        <v>0.39930555555555558</v>
      </c>
      <c r="C694" s="10">
        <v>0.40625</v>
      </c>
      <c r="D694" s="5">
        <f>C694-B694</f>
        <v>6.9444444444444198E-3</v>
      </c>
      <c r="E694" s="6" t="s">
        <v>31</v>
      </c>
      <c r="F694" s="7" t="s">
        <v>15</v>
      </c>
      <c r="G694" s="7" t="str">
        <f>IF(F694="P1","Normal activity",IF(F694="P2","Clustering / aggregation",IF(F694="P3","Agitation",IF(F694="P4","Lethargy",IF(F694="P5","Jumping / splashing",IF(F694="P6","Reactivity to noise"))))))</f>
        <v>Agitation</v>
      </c>
      <c r="H694" s="7" t="str">
        <f>IF(F694="P1","Regular swimming, even distribution",IF(F694="P2","Fish grouped in one corner",IF(F694="P3","Rapid swimming, escape behavior",IF(F694="P4","Little movement",IF(F694="P5","Jumping out of the water",IF(F694="P6","Reaction to a tool or impact"))))))</f>
        <v>Rapid swimming, escape behavior</v>
      </c>
      <c r="I694" s="6" t="s">
        <v>478</v>
      </c>
    </row>
    <row r="695" spans="1:9" x14ac:dyDescent="0.35">
      <c r="A695" s="13">
        <v>46194</v>
      </c>
      <c r="B695" s="10">
        <v>0.45763888888888887</v>
      </c>
      <c r="C695" s="10">
        <v>0.46458333333333335</v>
      </c>
      <c r="D695" s="5">
        <f>C695-B695</f>
        <v>6.9444444444444753E-3</v>
      </c>
      <c r="E695" s="6" t="s">
        <v>27</v>
      </c>
      <c r="F695" s="7" t="s">
        <v>9</v>
      </c>
      <c r="G695" s="7" t="str">
        <f>IF(F695="P1","Normal activity",IF(F695="P2","Clustering / aggregation",IF(F695="P3","Agitation",IF(F695="P4","Lethargy",IF(F695="P5","Jumping / splashing",IF(F695="P6","Reactivity to noise"))))))</f>
        <v>Normal activity</v>
      </c>
      <c r="H695" s="7" t="str">
        <f>IF(F695="P1","Regular swimming, even distribution",IF(F695="P2","Fish grouped in one corner",IF(F695="P3","Rapid swimming, escape behavior",IF(F695="P4","Little movement",IF(F695="P5","Jumping out of the water",IF(F695="P6","Reaction to a tool or impact"))))))</f>
        <v>Regular swimming, even distribution</v>
      </c>
      <c r="I695" s="6" t="s">
        <v>479</v>
      </c>
    </row>
    <row r="696" spans="1:9" x14ac:dyDescent="0.35">
      <c r="A696" s="13">
        <v>46194</v>
      </c>
      <c r="B696" s="10">
        <v>0.45763888888888887</v>
      </c>
      <c r="C696" s="10">
        <v>0.46458333333333335</v>
      </c>
      <c r="D696" s="5">
        <f>C696-B696</f>
        <v>6.9444444444444753E-3</v>
      </c>
      <c r="E696" s="6" t="s">
        <v>27</v>
      </c>
      <c r="F696" s="7" t="s">
        <v>12</v>
      </c>
      <c r="G696" s="7" t="str">
        <f>IF(F696="P1","Normal activity",IF(F696="P2","Clustering / aggregation",IF(F696="P3","Agitation",IF(F696="P4","Lethargy",IF(F696="P5","Jumping / splashing",IF(F696="P6","Reactivity to noise"))))))</f>
        <v>Clustering / aggregation</v>
      </c>
      <c r="H696" s="7" t="str">
        <f>IF(F696="P1","Regular swimming, even distribution",IF(F696="P2","Fish grouped in one corner",IF(F696="P3","Rapid swimming, escape behavior",IF(F696="P4","Little movement",IF(F696="P5","Jumping out of the water",IF(F696="P6","Reaction to a tool or impact"))))))</f>
        <v>Fish grouped in one corner</v>
      </c>
      <c r="I696" s="6" t="s">
        <v>480</v>
      </c>
    </row>
    <row r="697" spans="1:9" x14ac:dyDescent="0.35">
      <c r="A697" s="13">
        <v>46194</v>
      </c>
      <c r="B697" s="10">
        <v>0.45763888888888887</v>
      </c>
      <c r="C697" s="10">
        <v>0.46458333333333335</v>
      </c>
      <c r="D697" s="5">
        <f>C697-B697</f>
        <v>6.9444444444444753E-3</v>
      </c>
      <c r="E697" s="6" t="s">
        <v>28</v>
      </c>
      <c r="F697" s="7" t="s">
        <v>9</v>
      </c>
      <c r="G697" s="7" t="str">
        <f>IF(F697="P1","Normal activity",IF(F697="P2","Clustering / aggregation",IF(F697="P3","Agitation",IF(F697="P4","Lethargy",IF(F697="P5","Jumping / splashing",IF(F697="P6","Reactivity to noise"))))))</f>
        <v>Normal activity</v>
      </c>
      <c r="H697" s="7" t="str">
        <f>IF(F697="P1","Regular swimming, even distribution",IF(F697="P2","Fish grouped in one corner",IF(F697="P3","Rapid swimming, escape behavior",IF(F697="P4","Little movement",IF(F697="P5","Jumping out of the water",IF(F697="P6","Reaction to a tool or impact"))))))</f>
        <v>Regular swimming, even distribution</v>
      </c>
      <c r="I697" s="6" t="s">
        <v>481</v>
      </c>
    </row>
    <row r="698" spans="1:9" x14ac:dyDescent="0.35">
      <c r="A698" s="13">
        <v>46194</v>
      </c>
      <c r="B698" s="10">
        <v>0.45763888888888887</v>
      </c>
      <c r="C698" s="10">
        <v>0.46458333333333335</v>
      </c>
      <c r="D698" s="5">
        <f>C698-B698</f>
        <v>6.9444444444444753E-3</v>
      </c>
      <c r="E698" s="6" t="s">
        <v>28</v>
      </c>
      <c r="F698" s="7" t="s">
        <v>12</v>
      </c>
      <c r="G698" s="7" t="str">
        <f>IF(F698="P1","Normal activity",IF(F698="P2","Clustering / aggregation",IF(F698="P3","Agitation",IF(F698="P4","Lethargy",IF(F698="P5","Jumping / splashing",IF(F698="P6","Reactivity to noise"))))))</f>
        <v>Clustering / aggregation</v>
      </c>
      <c r="H698" s="7" t="str">
        <f>IF(F698="P1","Regular swimming, even distribution",IF(F698="P2","Fish grouped in one corner",IF(F698="P3","Rapid swimming, escape behavior",IF(F698="P4","Little movement",IF(F698="P5","Jumping out of the water",IF(F698="P6","Reaction to a tool or impact"))))))</f>
        <v>Fish grouped in one corner</v>
      </c>
      <c r="I698" s="6" t="s">
        <v>481</v>
      </c>
    </row>
    <row r="699" spans="1:9" x14ac:dyDescent="0.35">
      <c r="A699" s="13">
        <v>46194</v>
      </c>
      <c r="B699" s="10">
        <v>0.45763888888888887</v>
      </c>
      <c r="C699" s="10">
        <v>0.46458333333333335</v>
      </c>
      <c r="D699" s="5">
        <f>C699-B699</f>
        <v>6.9444444444444753E-3</v>
      </c>
      <c r="E699" s="6" t="s">
        <v>29</v>
      </c>
      <c r="F699" s="7" t="s">
        <v>9</v>
      </c>
      <c r="G699" s="7" t="str">
        <f>IF(F699="P1","Normal activity",IF(F699="P2","Clustering / aggregation",IF(F699="P3","Agitation",IF(F699="P4","Lethargy",IF(F699="P5","Jumping / splashing",IF(F699="P6","Reactivity to noise"))))))</f>
        <v>Normal activity</v>
      </c>
      <c r="H699" s="7" t="str">
        <f>IF(F699="P1","Regular swimming, even distribution",IF(F699="P2","Fish grouped in one corner",IF(F699="P3","Rapid swimming, escape behavior",IF(F699="P4","Little movement",IF(F699="P5","Jumping out of the water",IF(F699="P6","Reaction to a tool or impact"))))))</f>
        <v>Regular swimming, even distribution</v>
      </c>
      <c r="I699" s="6" t="s">
        <v>63</v>
      </c>
    </row>
    <row r="700" spans="1:9" x14ac:dyDescent="0.35">
      <c r="A700" s="13">
        <v>46194</v>
      </c>
      <c r="B700" s="10">
        <v>0.45763888888888887</v>
      </c>
      <c r="C700" s="10">
        <v>0.46458333333333335</v>
      </c>
      <c r="D700" s="5">
        <f>C700-B700</f>
        <v>6.9444444444444753E-3</v>
      </c>
      <c r="E700" s="6" t="s">
        <v>29</v>
      </c>
      <c r="F700" s="7" t="s">
        <v>12</v>
      </c>
      <c r="G700" s="7" t="str">
        <f>IF(F700="P1","Normal activity",IF(F700="P2","Clustering / aggregation",IF(F700="P3","Agitation",IF(F700="P4","Lethargy",IF(F700="P5","Jumping / splashing",IF(F700="P6","Reactivity to noise"))))))</f>
        <v>Clustering / aggregation</v>
      </c>
      <c r="H700" s="7" t="str">
        <f>IF(F700="P1","Regular swimming, even distribution",IF(F700="P2","Fish grouped in one corner",IF(F700="P3","Rapid swimming, escape behavior",IF(F700="P4","Little movement",IF(F700="P5","Jumping out of the water",IF(F700="P6","Reaction to a tool or impact"))))))</f>
        <v>Fish grouped in one corner</v>
      </c>
      <c r="I700" s="6"/>
    </row>
    <row r="701" spans="1:9" x14ac:dyDescent="0.35">
      <c r="A701" s="13">
        <v>46194</v>
      </c>
      <c r="B701" s="10">
        <v>0.45763888888888887</v>
      </c>
      <c r="C701" s="10">
        <v>0.46458333333333335</v>
      </c>
      <c r="D701" s="5">
        <f>C701-B701</f>
        <v>6.9444444444444753E-3</v>
      </c>
      <c r="E701" s="6" t="s">
        <v>31</v>
      </c>
      <c r="F701" s="7" t="s">
        <v>9</v>
      </c>
      <c r="G701" s="7" t="str">
        <f>IF(F701="P1","Normal activity",IF(F701="P2","Clustering / aggregation",IF(F701="P3","Agitation",IF(F701="P4","Lethargy",IF(F701="P5","Jumping / splashing",IF(F701="P6","Reactivity to noise"))))))</f>
        <v>Normal activity</v>
      </c>
      <c r="H701" s="7" t="str">
        <f>IF(F701="P1","Regular swimming, even distribution",IF(F701="P2","Fish grouped in one corner",IF(F701="P3","Rapid swimming, escape behavior",IF(F701="P4","Little movement",IF(F701="P5","Jumping out of the water",IF(F701="P6","Reaction to a tool or impact"))))))</f>
        <v>Regular swimming, even distribution</v>
      </c>
      <c r="I701" s="6" t="s">
        <v>63</v>
      </c>
    </row>
    <row r="702" spans="1:9" x14ac:dyDescent="0.35">
      <c r="A702" s="13">
        <v>46194</v>
      </c>
      <c r="B702" s="10">
        <v>0.45763888888888898</v>
      </c>
      <c r="C702" s="10">
        <v>0.46458333333333302</v>
      </c>
      <c r="D702" s="5">
        <f>C702-B702</f>
        <v>6.9444444444440312E-3</v>
      </c>
      <c r="E702" s="6" t="s">
        <v>31</v>
      </c>
      <c r="F702" s="7" t="s">
        <v>12</v>
      </c>
      <c r="G702" s="7" t="str">
        <f>IF(F702="P1","Normal activity",IF(F702="P2","Clustering / aggregation",IF(F702="P3","Agitation",IF(F702="P4","Lethargy",IF(F702="P5","Jumping / splashing",IF(F702="P6","Reactivity to noise"))))))</f>
        <v>Clustering / aggregation</v>
      </c>
      <c r="H702" s="7" t="str">
        <f>IF(F702="P1","Regular swimming, even distribution",IF(F702="P2","Fish grouped in one corner",IF(F702="P3","Rapid swimming, escape behavior",IF(F702="P4","Little movement",IF(F702="P5","Jumping out of the water",IF(F702="P6","Reaction to a tool or impact"))))))</f>
        <v>Fish grouped in one corner</v>
      </c>
      <c r="I702" s="6" t="s">
        <v>482</v>
      </c>
    </row>
    <row r="703" spans="1:9" x14ac:dyDescent="0.35">
      <c r="A703" s="13">
        <v>46194</v>
      </c>
      <c r="B703" s="10">
        <v>0.46111111111111114</v>
      </c>
      <c r="C703" s="10">
        <v>0.46458333333333335</v>
      </c>
      <c r="D703" s="5">
        <f>C703-B703</f>
        <v>3.4722222222222099E-3</v>
      </c>
      <c r="E703" s="6"/>
      <c r="F703" s="7"/>
      <c r="G703" s="7" t="b">
        <f>IF(F703="P1","Normal activity",IF(F703="P2","Clustering / aggregation",IF(F703="P3","Agitation",IF(F703="P4","Lethargy",IF(F703="P5","Jumping / splashing",IF(F703="P6","Reactivity to noise"))))))</f>
        <v>0</v>
      </c>
      <c r="H703" s="7" t="b">
        <f>IF(F703="P1","Regular swimming, even distribution",IF(F703="P2","Fish grouped in one corner",IF(F703="P3","Rapid swimming, escape behavior",IF(F703="P4","Little movement",IF(F703="P5","Jumping out of the water",IF(F703="P6","Reaction to a tool or impact"))))))</f>
        <v>0</v>
      </c>
      <c r="I703" s="6" t="s">
        <v>40</v>
      </c>
    </row>
    <row r="704" spans="1:9" x14ac:dyDescent="0.35">
      <c r="A704" s="13">
        <v>46194</v>
      </c>
      <c r="B704" s="10">
        <v>0.46111111111111114</v>
      </c>
      <c r="C704" s="10">
        <v>0.46805555555555556</v>
      </c>
      <c r="D704" s="5">
        <f>C704-B704</f>
        <v>6.9444444444444198E-3</v>
      </c>
      <c r="E704" s="6" t="s">
        <v>27</v>
      </c>
      <c r="F704" s="7" t="s">
        <v>15</v>
      </c>
      <c r="G704" s="7" t="str">
        <f>IF(F704="P1","Normal activity",IF(F704="P2","Clustering / aggregation",IF(F704="P3","Agitation",IF(F704="P4","Lethargy",IF(F704="P5","Jumping / splashing",IF(F704="P6","Reactivity to noise"))))))</f>
        <v>Agitation</v>
      </c>
      <c r="H704" s="7" t="str">
        <f>IF(F704="P1","Regular swimming, even distribution",IF(F704="P2","Fish grouped in one corner",IF(F704="P3","Rapid swimming, escape behavior",IF(F704="P4","Little movement",IF(F704="P5","Jumping out of the water",IF(F704="P6","Reaction to a tool or impact"))))))</f>
        <v>Rapid swimming, escape behavior</v>
      </c>
      <c r="I704" s="6" t="s">
        <v>483</v>
      </c>
    </row>
    <row r="705" spans="1:9" x14ac:dyDescent="0.35">
      <c r="A705" s="13">
        <v>46194</v>
      </c>
      <c r="B705" s="10">
        <v>0.46111111111111114</v>
      </c>
      <c r="C705" s="10">
        <v>0.46805555555555556</v>
      </c>
      <c r="D705" s="5">
        <f>C705-B705</f>
        <v>6.9444444444444198E-3</v>
      </c>
      <c r="E705" s="6" t="s">
        <v>28</v>
      </c>
      <c r="F705" s="7" t="s">
        <v>15</v>
      </c>
      <c r="G705" s="7" t="str">
        <f>IF(F705="P1","Normal activity",IF(F705="P2","Clustering / aggregation",IF(F705="P3","Agitation",IF(F705="P4","Lethargy",IF(F705="P5","Jumping / splashing",IF(F705="P6","Reactivity to noise"))))))</f>
        <v>Agitation</v>
      </c>
      <c r="H705" s="7" t="str">
        <f>IF(F705="P1","Regular swimming, even distribution",IF(F705="P2","Fish grouped in one corner",IF(F705="P3","Rapid swimming, escape behavior",IF(F705="P4","Little movement",IF(F705="P5","Jumping out of the water",IF(F705="P6","Reaction to a tool or impact"))))))</f>
        <v>Rapid swimming, escape behavior</v>
      </c>
      <c r="I705" s="6" t="s">
        <v>484</v>
      </c>
    </row>
    <row r="706" spans="1:9" x14ac:dyDescent="0.35">
      <c r="A706" s="13">
        <v>46194</v>
      </c>
      <c r="B706" s="10">
        <v>0.46111111111111114</v>
      </c>
      <c r="C706" s="10">
        <v>0.46805555555555556</v>
      </c>
      <c r="D706" s="5">
        <f>C706-B706</f>
        <v>6.9444444444444198E-3</v>
      </c>
      <c r="E706" s="6" t="s">
        <v>29</v>
      </c>
      <c r="F706" s="7" t="s">
        <v>15</v>
      </c>
      <c r="G706" s="7" t="str">
        <f>IF(F706="P1","Normal activity",IF(F706="P2","Clustering / aggregation",IF(F706="P3","Agitation",IF(F706="P4","Lethargy",IF(F706="P5","Jumping / splashing",IF(F706="P6","Reactivity to noise"))))))</f>
        <v>Agitation</v>
      </c>
      <c r="H706" s="7" t="str">
        <f>IF(F706="P1","Regular swimming, even distribution",IF(F706="P2","Fish grouped in one corner",IF(F706="P3","Rapid swimming, escape behavior",IF(F706="P4","Little movement",IF(F706="P5","Jumping out of the water",IF(F706="P6","Reaction to a tool or impact"))))))</f>
        <v>Rapid swimming, escape behavior</v>
      </c>
      <c r="I706" s="6" t="s">
        <v>485</v>
      </c>
    </row>
    <row r="707" spans="1:9" x14ac:dyDescent="0.35">
      <c r="A707" s="13">
        <v>46194</v>
      </c>
      <c r="B707" s="6"/>
      <c r="C707" s="6"/>
      <c r="D707" s="5">
        <f>C707-B707</f>
        <v>0</v>
      </c>
      <c r="E707" s="6" t="s">
        <v>31</v>
      </c>
      <c r="F707" s="7" t="s">
        <v>15</v>
      </c>
      <c r="G707" s="7" t="str">
        <f>IF(F707="P1","Normal activity",IF(F707="P2","Clustering / aggregation",IF(F707="P3","Agitation",IF(F707="P4","Lethargy",IF(F707="P5","Jumping / splashing",IF(F707="P6","Reactivity to noise"))))))</f>
        <v>Agitation</v>
      </c>
      <c r="H707" s="7" t="str">
        <f>IF(F707="P1","Regular swimming, even distribution",IF(F707="P2","Fish grouped in one corner",IF(F707="P3","Rapid swimming, escape behavior",IF(F707="P4","Little movement",IF(F707="P5","Jumping out of the water",IF(F707="P6","Reaction to a tool or impact"))))))</f>
        <v>Rapid swimming, escape behavior</v>
      </c>
      <c r="I707" s="6" t="s">
        <v>486</v>
      </c>
    </row>
    <row r="708" spans="1:9" x14ac:dyDescent="0.35">
      <c r="A708" s="13">
        <v>46194</v>
      </c>
      <c r="B708" s="10">
        <v>0.52638888888888891</v>
      </c>
      <c r="C708" s="10">
        <v>0.53333333333333333</v>
      </c>
      <c r="D708" s="5">
        <f>C708-B708</f>
        <v>6.9444444444444198E-3</v>
      </c>
      <c r="E708" s="6" t="s">
        <v>27</v>
      </c>
      <c r="F708" s="7" t="s">
        <v>9</v>
      </c>
      <c r="G708" s="7" t="str">
        <f>IF(F708="P1","Normal activity",IF(F708="P2","Clustering / aggregation",IF(F708="P3","Agitation",IF(F708="P4","Lethargy",IF(F708="P5","Jumping / splashing",IF(F708="P6","Reactivity to noise"))))))</f>
        <v>Normal activity</v>
      </c>
      <c r="H708" s="7" t="str">
        <f>IF(F708="P1","Regular swimming, even distribution",IF(F708="P2","Fish grouped in one corner",IF(F708="P3","Rapid swimming, escape behavior",IF(F708="P4","Little movement",IF(F708="P5","Jumping out of the water",IF(F708="P6","Reaction to a tool or impact"))))))</f>
        <v>Regular swimming, even distribution</v>
      </c>
      <c r="I708" s="6" t="s">
        <v>63</v>
      </c>
    </row>
    <row r="709" spans="1:9" x14ac:dyDescent="0.35">
      <c r="A709" s="13">
        <v>46194</v>
      </c>
      <c r="B709" s="10">
        <v>0.52638888888888891</v>
      </c>
      <c r="C709" s="10">
        <v>0.53333333333333333</v>
      </c>
      <c r="D709" s="5">
        <f>C709-B709</f>
        <v>6.9444444444444198E-3</v>
      </c>
      <c r="E709" s="6" t="s">
        <v>28</v>
      </c>
      <c r="F709" s="7" t="s">
        <v>9</v>
      </c>
      <c r="G709" s="7" t="str">
        <f>IF(F709="P1","Normal activity",IF(F709="P2","Clustering / aggregation",IF(F709="P3","Agitation",IF(F709="P4","Lethargy",IF(F709="P5","Jumping / splashing",IF(F709="P6","Reactivity to noise"))))))</f>
        <v>Normal activity</v>
      </c>
      <c r="H709" s="7" t="str">
        <f>IF(F709="P1","Regular swimming, even distribution",IF(F709="P2","Fish grouped in one corner",IF(F709="P3","Rapid swimming, escape behavior",IF(F709="P4","Little movement",IF(F709="P5","Jumping out of the water",IF(F709="P6","Reaction to a tool or impact"))))))</f>
        <v>Regular swimming, even distribution</v>
      </c>
      <c r="I709" s="6" t="s">
        <v>487</v>
      </c>
    </row>
    <row r="710" spans="1:9" x14ac:dyDescent="0.35">
      <c r="A710" s="13">
        <v>46194</v>
      </c>
      <c r="B710" s="10">
        <v>0.52638888888888891</v>
      </c>
      <c r="C710" s="10">
        <v>0.53333333333333333</v>
      </c>
      <c r="D710" s="5">
        <f>C710-B710</f>
        <v>6.9444444444444198E-3</v>
      </c>
      <c r="E710" s="6" t="s">
        <v>29</v>
      </c>
      <c r="F710" s="7" t="s">
        <v>9</v>
      </c>
      <c r="G710" s="7" t="str">
        <f>IF(F710="P1","Normal activity",IF(F710="P2","Clustering / aggregation",IF(F710="P3","Agitation",IF(F710="P4","Lethargy",IF(F710="P5","Jumping / splashing",IF(F710="P6","Reactivity to noise"))))))</f>
        <v>Normal activity</v>
      </c>
      <c r="H710" s="7" t="str">
        <f>IF(F710="P1","Regular swimming, even distribution",IF(F710="P2","Fish grouped in one corner",IF(F710="P3","Rapid swimming, escape behavior",IF(F710="P4","Little movement",IF(F710="P5","Jumping out of the water",IF(F710="P6","Reaction to a tool or impact"))))))</f>
        <v>Regular swimming, even distribution</v>
      </c>
      <c r="I710" s="6" t="s">
        <v>63</v>
      </c>
    </row>
    <row r="711" spans="1:9" x14ac:dyDescent="0.35">
      <c r="A711" s="13">
        <v>46194</v>
      </c>
      <c r="B711" s="10">
        <v>0.52638888888888891</v>
      </c>
      <c r="C711" s="10">
        <v>0.53333333333333333</v>
      </c>
      <c r="D711" s="5">
        <f>C711-B711</f>
        <v>6.9444444444444198E-3</v>
      </c>
      <c r="E711" s="6" t="s">
        <v>31</v>
      </c>
      <c r="F711" s="7" t="s">
        <v>9</v>
      </c>
      <c r="G711" s="7" t="str">
        <f>IF(F711="P1","Normal activity",IF(F711="P2","Clustering / aggregation",IF(F711="P3","Agitation",IF(F711="P4","Lethargy",IF(F711="P5","Jumping / splashing",IF(F711="P6","Reactivity to noise"))))))</f>
        <v>Normal activity</v>
      </c>
      <c r="H711" s="7" t="str">
        <f>IF(F711="P1","Regular swimming, even distribution",IF(F711="P2","Fish grouped in one corner",IF(F711="P3","Rapid swimming, escape behavior",IF(F711="P4","Little movement",IF(F711="P5","Jumping out of the water",IF(F711="P6","Reaction to a tool or impact"))))))</f>
        <v>Regular swimming, even distribution</v>
      </c>
      <c r="I711" s="6" t="s">
        <v>63</v>
      </c>
    </row>
    <row r="712" spans="1:9" x14ac:dyDescent="0.35">
      <c r="A712" s="13">
        <v>46194</v>
      </c>
      <c r="B712" s="10">
        <v>0.53333333333333333</v>
      </c>
      <c r="C712" s="10">
        <v>0.53680555555555554</v>
      </c>
      <c r="D712" s="5">
        <f>C712-B712</f>
        <v>3.4722222222222099E-3</v>
      </c>
      <c r="E712" s="6"/>
      <c r="F712" s="7"/>
      <c r="G712" s="7" t="b">
        <f>IF(F712="P1","Normal activity",IF(F712="P2","Clustering / aggregation",IF(F712="P3","Agitation",IF(F712="P4","Lethargy",IF(F712="P5","Jumping / splashing",IF(F712="P6","Reactivity to noise"))))))</f>
        <v>0</v>
      </c>
      <c r="H712" s="7" t="b">
        <f>IF(F712="P1","Regular swimming, even distribution",IF(F712="P2","Fish grouped in one corner",IF(F712="P3","Rapid swimming, escape behavior",IF(F712="P4","Little movement",IF(F712="P5","Jumping out of the water",IF(F712="P6","Reaction to a tool or impact"))))))</f>
        <v>0</v>
      </c>
      <c r="I712" s="6" t="s">
        <v>40</v>
      </c>
    </row>
    <row r="713" spans="1:9" x14ac:dyDescent="0.35">
      <c r="A713" s="13">
        <v>46194</v>
      </c>
      <c r="B713" s="10">
        <v>0.53680555555555554</v>
      </c>
      <c r="C713" s="10">
        <v>0.54374999999999996</v>
      </c>
      <c r="D713" s="5">
        <f>C713-B713</f>
        <v>6.9444444444444198E-3</v>
      </c>
      <c r="E713" s="6" t="s">
        <v>27</v>
      </c>
      <c r="F713" s="7" t="s">
        <v>15</v>
      </c>
      <c r="G713" s="7" t="str">
        <f>IF(F713="P1","Normal activity",IF(F713="P2","Clustering / aggregation",IF(F713="P3","Agitation",IF(F713="P4","Lethargy",IF(F713="P5","Jumping / splashing",IF(F713="P6","Reactivity to noise"))))))</f>
        <v>Agitation</v>
      </c>
      <c r="H713" s="7" t="str">
        <f>IF(F713="P1","Regular swimming, even distribution",IF(F713="P2","Fish grouped in one corner",IF(F713="P3","Rapid swimming, escape behavior",IF(F713="P4","Little movement",IF(F713="P5","Jumping out of the water",IF(F713="P6","Reaction to a tool or impact"))))))</f>
        <v>Rapid swimming, escape behavior</v>
      </c>
      <c r="I713" s="6" t="s">
        <v>488</v>
      </c>
    </row>
    <row r="714" spans="1:9" x14ac:dyDescent="0.35">
      <c r="A714" s="13">
        <v>46194</v>
      </c>
      <c r="B714" s="10">
        <v>0.53680555555555554</v>
      </c>
      <c r="C714" s="10">
        <v>0.54374999999999996</v>
      </c>
      <c r="D714" s="5">
        <f>C714-B714</f>
        <v>6.9444444444444198E-3</v>
      </c>
      <c r="E714" s="6" t="s">
        <v>28</v>
      </c>
      <c r="F714" s="7" t="s">
        <v>15</v>
      </c>
      <c r="G714" s="7" t="str">
        <f>IF(F714="P1","Normal activity",IF(F714="P2","Clustering / aggregation",IF(F714="P3","Agitation",IF(F714="P4","Lethargy",IF(F714="P5","Jumping / splashing",IF(F714="P6","Reactivity to noise"))))))</f>
        <v>Agitation</v>
      </c>
      <c r="H714" s="7" t="str">
        <f>IF(F714="P1","Regular swimming, even distribution",IF(F714="P2","Fish grouped in one corner",IF(F714="P3","Rapid swimming, escape behavior",IF(F714="P4","Little movement",IF(F714="P5","Jumping out of the water",IF(F714="P6","Reaction to a tool or impact"))))))</f>
        <v>Rapid swimming, escape behavior</v>
      </c>
      <c r="I714" s="6" t="s">
        <v>489</v>
      </c>
    </row>
    <row r="715" spans="1:9" x14ac:dyDescent="0.35">
      <c r="A715" s="13">
        <v>46194</v>
      </c>
      <c r="B715" s="10">
        <v>0.53680555555555554</v>
      </c>
      <c r="C715" s="10">
        <v>0.54374999999999996</v>
      </c>
      <c r="D715" s="5">
        <f>C715-B715</f>
        <v>6.9444444444444198E-3</v>
      </c>
      <c r="E715" s="6" t="s">
        <v>29</v>
      </c>
      <c r="F715" s="7" t="s">
        <v>15</v>
      </c>
      <c r="G715" s="7" t="str">
        <f>IF(F715="P1","Normal activity",IF(F715="P2","Clustering / aggregation",IF(F715="P3","Agitation",IF(F715="P4","Lethargy",IF(F715="P5","Jumping / splashing",IF(F715="P6","Reactivity to noise"))))))</f>
        <v>Agitation</v>
      </c>
      <c r="H715" s="7" t="str">
        <f>IF(F715="P1","Regular swimming, even distribution",IF(F715="P2","Fish grouped in one corner",IF(F715="P3","Rapid swimming, escape behavior",IF(F715="P4","Little movement",IF(F715="P5","Jumping out of the water",IF(F715="P6","Reaction to a tool or impact"))))))</f>
        <v>Rapid swimming, escape behavior</v>
      </c>
      <c r="I715" s="6" t="s">
        <v>490</v>
      </c>
    </row>
    <row r="716" spans="1:9" x14ac:dyDescent="0.35">
      <c r="A716" s="13">
        <v>46194</v>
      </c>
      <c r="B716" s="10">
        <v>0.53680555555555554</v>
      </c>
      <c r="C716" s="10">
        <v>0.54374999999999996</v>
      </c>
      <c r="D716" s="5">
        <f>C716-B716</f>
        <v>6.9444444444444198E-3</v>
      </c>
      <c r="E716" s="6" t="s">
        <v>31</v>
      </c>
      <c r="F716" s="7" t="s">
        <v>15</v>
      </c>
      <c r="G716" s="7" t="str">
        <f>IF(F716="P1","Normal activity",IF(F716="P2","Clustering / aggregation",IF(F716="P3","Agitation",IF(F716="P4","Lethargy",IF(F716="P5","Jumping / splashing",IF(F716="P6","Reactivity to noise"))))))</f>
        <v>Agitation</v>
      </c>
      <c r="H716" s="7" t="str">
        <f>IF(F716="P1","Regular swimming, even distribution",IF(F716="P2","Fish grouped in one corner",IF(F716="P3","Rapid swimming, escape behavior",IF(F716="P4","Little movement",IF(F716="P5","Jumping out of the water",IF(F716="P6","Reaction to a tool or impact"))))))</f>
        <v>Rapid swimming, escape behavior</v>
      </c>
      <c r="I716" s="6" t="s">
        <v>491</v>
      </c>
    </row>
    <row r="717" spans="1:9" x14ac:dyDescent="0.35">
      <c r="A717" s="13">
        <v>46194</v>
      </c>
      <c r="B717" s="10">
        <v>0.59513888888888888</v>
      </c>
      <c r="C717" s="10">
        <v>0.6020833333333333</v>
      </c>
      <c r="D717" s="5">
        <f>C717-B717</f>
        <v>6.9444444444444198E-3</v>
      </c>
      <c r="E717" s="6" t="s">
        <v>27</v>
      </c>
      <c r="F717" s="7" t="s">
        <v>9</v>
      </c>
      <c r="G717" s="7" t="str">
        <f>IF(F717="P1","Normal activity",IF(F717="P2","Clustering / aggregation",IF(F717="P3","Agitation",IF(F717="P4","Lethargy",IF(F717="P5","Jumping / splashing",IF(F717="P6","Reactivity to noise"))))))</f>
        <v>Normal activity</v>
      </c>
      <c r="H717" s="7" t="str">
        <f>IF(F717="P1","Regular swimming, even distribution",IF(F717="P2","Fish grouped in one corner",IF(F717="P3","Rapid swimming, escape behavior",IF(F717="P4","Little movement",IF(F717="P5","Jumping out of the water",IF(F717="P6","Reaction to a tool or impact"))))))</f>
        <v>Regular swimming, even distribution</v>
      </c>
      <c r="I717" s="6" t="s">
        <v>492</v>
      </c>
    </row>
    <row r="718" spans="1:9" x14ac:dyDescent="0.35">
      <c r="A718" s="13">
        <v>46194</v>
      </c>
      <c r="B718" s="10">
        <v>0.59513888888888888</v>
      </c>
      <c r="C718" s="10">
        <v>0.6020833333333333</v>
      </c>
      <c r="D718" s="5">
        <f>C718-B718</f>
        <v>6.9444444444444198E-3</v>
      </c>
      <c r="E718" s="6" t="s">
        <v>28</v>
      </c>
      <c r="F718" s="7" t="s">
        <v>9</v>
      </c>
      <c r="G718" s="7" t="str">
        <f>IF(F718="P1","Normal activity",IF(F718="P2","Clustering / aggregation",IF(F718="P3","Agitation",IF(F718="P4","Lethargy",IF(F718="P5","Jumping / splashing",IF(F718="P6","Reactivity to noise"))))))</f>
        <v>Normal activity</v>
      </c>
      <c r="H718" s="7" t="str">
        <f>IF(F718="P1","Regular swimming, even distribution",IF(F718="P2","Fish grouped in one corner",IF(F718="P3","Rapid swimming, escape behavior",IF(F718="P4","Little movement",IF(F718="P5","Jumping out of the water",IF(F718="P6","Reaction to a tool or impact"))))))</f>
        <v>Regular swimming, even distribution</v>
      </c>
      <c r="I718" s="6" t="s">
        <v>63</v>
      </c>
    </row>
    <row r="719" spans="1:9" x14ac:dyDescent="0.35">
      <c r="A719" s="13">
        <v>46194</v>
      </c>
      <c r="B719" s="10">
        <v>0.59513888888888888</v>
      </c>
      <c r="C719" s="10">
        <v>0.6020833333333333</v>
      </c>
      <c r="D719" s="5">
        <f>C719-B719</f>
        <v>6.9444444444444198E-3</v>
      </c>
      <c r="E719" s="6" t="s">
        <v>29</v>
      </c>
      <c r="F719" s="7" t="s">
        <v>9</v>
      </c>
      <c r="G719" s="7" t="str">
        <f>IF(F719="P1","Normal activity",IF(F719="P2","Clustering / aggregation",IF(F719="P3","Agitation",IF(F719="P4","Lethargy",IF(F719="P5","Jumping / splashing",IF(F719="P6","Reactivity to noise"))))))</f>
        <v>Normal activity</v>
      </c>
      <c r="H719" s="7" t="str">
        <f>IF(F719="P1","Regular swimming, even distribution",IF(F719="P2","Fish grouped in one corner",IF(F719="P3","Rapid swimming, escape behavior",IF(F719="P4","Little movement",IF(F719="P5","Jumping out of the water",IF(F719="P6","Reaction to a tool or impact"))))))</f>
        <v>Regular swimming, even distribution</v>
      </c>
      <c r="I719" s="6" t="s">
        <v>63</v>
      </c>
    </row>
    <row r="720" spans="1:9" x14ac:dyDescent="0.35">
      <c r="A720" s="13">
        <v>46194</v>
      </c>
      <c r="B720" s="10">
        <v>0.59513888888888888</v>
      </c>
      <c r="C720" s="10">
        <v>0.6020833333333333</v>
      </c>
      <c r="D720" s="5">
        <f>C720-B720</f>
        <v>6.9444444444444198E-3</v>
      </c>
      <c r="E720" s="6" t="s">
        <v>493</v>
      </c>
      <c r="F720" s="7" t="s">
        <v>9</v>
      </c>
      <c r="G720" s="7" t="str">
        <f>IF(F720="P1","Normal activity",IF(F720="P2","Clustering / aggregation",IF(F720="P3","Agitation",IF(F720="P4","Lethargy",IF(F720="P5","Jumping / splashing",IF(F720="P6","Reactivity to noise"))))))</f>
        <v>Normal activity</v>
      </c>
      <c r="H720" s="7" t="str">
        <f>IF(F720="P1","Regular swimming, even distribution",IF(F720="P2","Fish grouped in one corner",IF(F720="P3","Rapid swimming, escape behavior",IF(F720="P4","Little movement",IF(F720="P5","Jumping out of the water",IF(F720="P6","Reaction to a tool or impact"))))))</f>
        <v>Regular swimming, even distribution</v>
      </c>
      <c r="I720" s="6" t="s">
        <v>63</v>
      </c>
    </row>
    <row r="721" spans="1:9" x14ac:dyDescent="0.35">
      <c r="A721" s="13">
        <v>46194</v>
      </c>
      <c r="B721" s="10">
        <v>0.6020833333333333</v>
      </c>
      <c r="C721" s="10">
        <v>0.60555555555555551</v>
      </c>
      <c r="D721" s="5">
        <f>C721-B721</f>
        <v>3.4722222222222099E-3</v>
      </c>
      <c r="E721" s="6"/>
      <c r="F721" s="7"/>
      <c r="G721" s="7" t="b">
        <f>IF(F721="P1","Normal activity",IF(F721="P2","Clustering / aggregation",IF(F721="P3","Agitation",IF(F721="P4","Lethargy",IF(F721="P5","Jumping / splashing",IF(F721="P6","Reactivity to noise"))))))</f>
        <v>0</v>
      </c>
      <c r="H721" s="7" t="b">
        <f>IF(F721="P1","Regular swimming, even distribution",IF(F721="P2","Fish grouped in one corner",IF(F721="P3","Rapid swimming, escape behavior",IF(F721="P4","Little movement",IF(F721="P5","Jumping out of the water",IF(F721="P6","Reaction to a tool or impact"))))))</f>
        <v>0</v>
      </c>
      <c r="I721" s="6" t="s">
        <v>40</v>
      </c>
    </row>
    <row r="722" spans="1:9" x14ac:dyDescent="0.35">
      <c r="A722" s="13">
        <v>46194</v>
      </c>
      <c r="B722" s="10">
        <v>0.60555555555555551</v>
      </c>
      <c r="C722" s="10">
        <v>0.61250000000000004</v>
      </c>
      <c r="D722" s="5">
        <f>C722-B722</f>
        <v>6.9444444444445308E-3</v>
      </c>
      <c r="E722" s="6" t="s">
        <v>27</v>
      </c>
      <c r="F722" s="7" t="s">
        <v>15</v>
      </c>
      <c r="G722" s="7" t="str">
        <f>IF(F722="P1","Normal activity",IF(F722="P2","Clustering / aggregation",IF(F722="P3","Agitation",IF(F722="P4","Lethargy",IF(F722="P5","Jumping / splashing",IF(F722="P6","Reactivity to noise"))))))</f>
        <v>Agitation</v>
      </c>
      <c r="H722" s="7" t="str">
        <f>IF(F722="P1","Regular swimming, even distribution",IF(F722="P2","Fish grouped in one corner",IF(F722="P3","Rapid swimming, escape behavior",IF(F722="P4","Little movement",IF(F722="P5","Jumping out of the water",IF(F722="P6","Reaction to a tool or impact"))))))</f>
        <v>Rapid swimming, escape behavior</v>
      </c>
      <c r="I722" s="6" t="s">
        <v>494</v>
      </c>
    </row>
    <row r="723" spans="1:9" x14ac:dyDescent="0.35">
      <c r="A723" s="13">
        <v>46194</v>
      </c>
      <c r="B723" s="10">
        <v>0.60555555555555551</v>
      </c>
      <c r="C723" s="10">
        <v>0.61250000000000004</v>
      </c>
      <c r="D723" s="5">
        <f>C723-B723</f>
        <v>6.9444444444445308E-3</v>
      </c>
      <c r="E723" s="6" t="s">
        <v>27</v>
      </c>
      <c r="F723" s="7" t="s">
        <v>9</v>
      </c>
      <c r="G723" s="7" t="str">
        <f>IF(F723="P1","Normal activity",IF(F723="P2","Clustering / aggregation",IF(F723="P3","Agitation",IF(F723="P4","Lethargy",IF(F723="P5","Jumping / splashing",IF(F723="P6","Reactivity to noise"))))))</f>
        <v>Normal activity</v>
      </c>
      <c r="H723" s="7" t="str">
        <f>IF(F723="P1","Regular swimming, even distribution",IF(F723="P2","Fish grouped in one corner",IF(F723="P3","Rapid swimming, escape behavior",IF(F723="P4","Little movement",IF(F723="P5","Jumping out of the water",IF(F723="P6","Reaction to a tool or impact"))))))</f>
        <v>Regular swimming, even distribution</v>
      </c>
      <c r="I723" s="6" t="s">
        <v>495</v>
      </c>
    </row>
    <row r="724" spans="1:9" x14ac:dyDescent="0.35">
      <c r="A724" s="13">
        <v>46194</v>
      </c>
      <c r="B724" s="10">
        <v>0.60555555555555551</v>
      </c>
      <c r="C724" s="10">
        <v>0.61250000000000004</v>
      </c>
      <c r="D724" s="5">
        <f>C724-B724</f>
        <v>6.9444444444445308E-3</v>
      </c>
      <c r="E724" s="6" t="s">
        <v>28</v>
      </c>
      <c r="F724" s="7" t="s">
        <v>15</v>
      </c>
      <c r="G724" s="7" t="str">
        <f>IF(F724="P1","Normal activity",IF(F724="P2","Clustering / aggregation",IF(F724="P3","Agitation",IF(F724="P4","Lethargy",IF(F724="P5","Jumping / splashing",IF(F724="P6","Reactivity to noise"))))))</f>
        <v>Agitation</v>
      </c>
      <c r="H724" s="7" t="str">
        <f>IF(F724="P1","Regular swimming, even distribution",IF(F724="P2","Fish grouped in one corner",IF(F724="P3","Rapid swimming, escape behavior",IF(F724="P4","Little movement",IF(F724="P5","Jumping out of the water",IF(F724="P6","Reaction to a tool or impact"))))))</f>
        <v>Rapid swimming, escape behavior</v>
      </c>
      <c r="I724" s="6" t="s">
        <v>496</v>
      </c>
    </row>
    <row r="725" spans="1:9" x14ac:dyDescent="0.35">
      <c r="A725" s="13">
        <v>46194</v>
      </c>
      <c r="B725" s="10">
        <v>0.60555555555555551</v>
      </c>
      <c r="C725" s="10">
        <v>0.61250000000000004</v>
      </c>
      <c r="D725" s="5">
        <f>C725-B725</f>
        <v>6.9444444444445308E-3</v>
      </c>
      <c r="E725" s="6" t="s">
        <v>29</v>
      </c>
      <c r="F725" s="7" t="s">
        <v>15</v>
      </c>
      <c r="G725" s="7" t="str">
        <f>IF(F725="P1","Normal activity",IF(F725="P2","Clustering / aggregation",IF(F725="P3","Agitation",IF(F725="P4","Lethargy",IF(F725="P5","Jumping / splashing",IF(F725="P6","Reactivity to noise"))))))</f>
        <v>Agitation</v>
      </c>
      <c r="H725" s="7" t="str">
        <f>IF(F725="P1","Regular swimming, even distribution",IF(F725="P2","Fish grouped in one corner",IF(F725="P3","Rapid swimming, escape behavior",IF(F725="P4","Little movement",IF(F725="P5","Jumping out of the water",IF(F725="P6","Reaction to a tool or impact"))))))</f>
        <v>Rapid swimming, escape behavior</v>
      </c>
      <c r="I725" s="6" t="s">
        <v>497</v>
      </c>
    </row>
    <row r="726" spans="1:9" x14ac:dyDescent="0.35">
      <c r="A726" s="13">
        <v>46194</v>
      </c>
      <c r="B726" s="10">
        <v>0.60555555555555551</v>
      </c>
      <c r="C726" s="10">
        <v>0.61250000000000004</v>
      </c>
      <c r="D726" s="5">
        <f>C726-B726</f>
        <v>6.9444444444445308E-3</v>
      </c>
      <c r="E726" s="6" t="s">
        <v>31</v>
      </c>
      <c r="F726" s="7" t="s">
        <v>15</v>
      </c>
      <c r="G726" s="7" t="str">
        <f>IF(F726="P1","Normal activity",IF(F726="P2","Clustering / aggregation",IF(F726="P3","Agitation",IF(F726="P4","Lethargy",IF(F726="P5","Jumping / splashing",IF(F726="P6","Reactivity to noise"))))))</f>
        <v>Agitation</v>
      </c>
      <c r="H726" s="7" t="str">
        <f>IF(F726="P1","Regular swimming, even distribution",IF(F726="P2","Fish grouped in one corner",IF(F726="P3","Rapid swimming, escape behavior",IF(F726="P4","Little movement",IF(F726="P5","Jumping out of the water",IF(F726="P6","Reaction to a tool or impact"))))))</f>
        <v>Rapid swimming, escape behavior</v>
      </c>
      <c r="I726" s="6" t="s">
        <v>498</v>
      </c>
    </row>
  </sheetData>
  <sortState xmlns:xlrd2="http://schemas.microsoft.com/office/spreadsheetml/2017/richdata2" ref="A2:I726">
    <sortCondition ref="A2:A726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D'Angelo, Sofia</dc:creator>
  <cp:lastModifiedBy>D'Angelo, Sofia</cp:lastModifiedBy>
  <dcterms:created xsi:type="dcterms:W3CDTF">2026-07-27T18:49:15Z</dcterms:created>
  <dcterms:modified xsi:type="dcterms:W3CDTF">2026-07-27T19:03:41Z</dcterms:modified>
</cp:coreProperties>
</file>